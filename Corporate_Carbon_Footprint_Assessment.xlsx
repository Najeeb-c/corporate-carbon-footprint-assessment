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8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EADME" sheetId="2" state="visible" r:id="rId4"/>
    <sheet name="Boundary" sheetId="3" state="visible" r:id="rId5"/>
    <sheet name="Activity_Data" sheetId="4" state="visible" r:id="rId6"/>
    <sheet name="Emission_Factors" sheetId="5" state="visible" r:id="rId7"/>
    <sheet name="Results" sheetId="6" state="visible" r:id="rId8"/>
    <sheet name="Scope3_Screening" sheetId="7" state="visible" r:id="rId9"/>
    <sheet name="Reduction_Scenarios" sheetId="8" state="visible" r:id="rId10"/>
    <sheet name="Controls" sheetId="9" state="visible" r:id="rId11"/>
    <sheet name="Materiality" sheetId="10" state="visible" r:id="rId12"/>
    <sheet name="ESRS_E1_Map" sheetId="11" state="visible" r:id="rId13"/>
    <sheet name="Data_Governance" sheetId="12" state="visible" r:id="rId14"/>
    <sheet name="Assumptions_Log" sheetId="13" state="visible" r:id="rId15"/>
    <sheet name="Lists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<sst xmlns="http://schemas.openxmlformats.org/spreadsheetml/2006/main" count="681" uniqueCount="514">
  <si>
    <t xml:space="preserve">Corporate Carbon Footprint Assessment</t>
  </si>
  <si>
    <t xml:space="preserve">Headline result</t>
  </si>
  <si>
    <t xml:space="preserve">Value</t>
  </si>
  <si>
    <t xml:space="preserve">Note</t>
  </si>
  <si>
    <t xml:space="preserve">Scope 1 (tCO2e)</t>
  </si>
  <si>
    <t xml:space="preserve">Direct emissions: fuels and refrigerants</t>
  </si>
  <si>
    <t xml:space="preserve">Scope 2, location-based (tCO2e)</t>
  </si>
  <si>
    <t xml:space="preserve">Italian grid consumption mix</t>
  </si>
  <si>
    <t xml:space="preserve">Scope 2, market-based (tCO2e)</t>
  </si>
  <si>
    <t xml:space="preserve">National residual mix (proxy)</t>
  </si>
  <si>
    <t xml:space="preserve">Scope 3, partial (tCO2e)</t>
  </si>
  <si>
    <t xml:space="preserve">2 of 15 categories quantified: treat as a floor</t>
  </si>
  <si>
    <t xml:space="preserve">Total, location-based (tCO2e)</t>
  </si>
  <si>
    <t xml:space="preserve">Scope 1 + 2 location + 3</t>
  </si>
  <si>
    <t xml:space="preserve">Total, market-based (tCO2e)</t>
  </si>
  <si>
    <t xml:space="preserve">Scope 1 + 2 market + 3</t>
  </si>
  <si>
    <t xml:space="preserve">Largest source</t>
  </si>
  <si>
    <t xml:space="preserve">Location-based view</t>
  </si>
  <si>
    <t xml:space="preserve">Largest source (tCO2e)</t>
  </si>
  <si>
    <t xml:space="preserve">Roadmap: location-based reduction</t>
  </si>
  <si>
    <t xml:space="preserve">Illustrative assumptions</t>
  </si>
  <si>
    <t xml:space="preserve">Roadmap: market-based reduction</t>
  </si>
  <si>
    <t xml:space="preserve">Includes renewable electricity</t>
  </si>
  <si>
    <t xml:space="preserve">Factor status</t>
  </si>
  <si>
    <t xml:space="preserve">Control status</t>
  </si>
  <si>
    <t xml:space="preserve">See Controls sheet</t>
  </si>
  <si>
    <t xml:space="preserve">Corporate Carbon Footprint Assessment (GHG Protocol)</t>
  </si>
  <si>
    <t xml:space="preserve">Fictional case study: Scope 1-2-3 inventory, reduction roadmap and ESG reporting layer</t>
  </si>
  <si>
    <t xml:space="preserve">Purpose</t>
  </si>
  <si>
    <t xml:space="preserve">Corporate carbon footprint assessment (GHG Protocol) for a fictional manufacturer: inventory, controls, Scope 3 screening, reduction roadmap and ESRS E1 mapping. The model is live: change any blue input and every result updates.</t>
  </si>
  <si>
    <t xml:space="preserve">IMPORTANT</t>
  </si>
  <si>
    <t xml:space="preserve">All company data in this file is a FICTIONAL EXAMPLE. All emission factors are round PLACEHOLDER numbers, not published values. Replace each one with the real value from a cited source (e.g. DEFRA, ISPRA, AIB residual mix, IPCC) and record the dataset and year. Until you do, the Results sheet shows a warning.</t>
  </si>
  <si>
    <t xml:space="preserve">Step 1</t>
  </si>
  <si>
    <t xml:space="preserve">Boundary: set the company, reporting period, consolidation approach and sites.</t>
  </si>
  <si>
    <t xml:space="preserve">Step 2</t>
  </si>
  <si>
    <t xml:space="preserve">Emission_Factors: list every factor you use with its unit, source and year. Change Status to VERIFIED only after checking the original source.</t>
  </si>
  <si>
    <t xml:space="preserve">Step 3</t>
  </si>
  <si>
    <t xml:space="preserve">Activity_Data: one row per source. Enter quantity, unit and Factor ID. For electricity, enter two rows with the same kWh: one Location, one Market.</t>
  </si>
  <si>
    <t xml:space="preserve">Step 4</t>
  </si>
  <si>
    <t xml:space="preserve">Scope3_Screening: go through all 15 categories and record whether each is relevant, with a reason.</t>
  </si>
  <si>
    <t xml:space="preserve">Step 5</t>
  </si>
  <si>
    <t xml:space="preserve">Controls: clear every CHECK. Then read Results.</t>
  </si>
  <si>
    <t xml:space="preserve">Step 6</t>
  </si>
  <si>
    <t xml:space="preserve">Materiality, ESRS_E1_Map, Data_Governance, Assumptions_Log: complete the ESG layer.</t>
  </si>
  <si>
    <t xml:space="preserve">Colour code</t>
  </si>
  <si>
    <t xml:space="preserve">Blue text on yellow = cells you edit. Grey with black text = formulas (do not overwrite). Green text = links to another sheet.</t>
  </si>
  <si>
    <t xml:space="preserve">Data quality scale</t>
  </si>
  <si>
    <t xml:space="preserve">1 = metered or invoiced data; 2 = records from a reliable system; 3 = partly estimated; 4 = mostly estimated or extrapolated; 5 = rough proxy. Define your own scale in Assumptions_Log if you change it.</t>
  </si>
  <si>
    <t xml:space="preserve">Units</t>
  </si>
  <si>
    <t xml:space="preserve">Emission factors are in kg CO2e per unit. Emissions are shown in tonnes CO2e (kg / 1000). The unit in Activity_Data must match the unit of the factor.</t>
  </si>
  <si>
    <t xml:space="preserve">Regulatory note</t>
  </si>
  <si>
    <t xml:space="preserve">ESRS and CSRD scope and timelines are being revised under the EU Omnibus simplification. Check the current text before relying on the ESRS_E1_Map.</t>
  </si>
  <si>
    <t xml:space="preserve">Sheets</t>
  </si>
  <si>
    <t xml:space="preserve">Boundary | Activity_Data | Emission_Factors | Results | Scope3_Screening | Controls | Materiality | ESRS_E1_Map | Data_Governance | Assumptions_Log | Lists (dropdown values)</t>
  </si>
  <si>
    <t xml:space="preserve">Organisational and operational boundary</t>
  </si>
  <si>
    <t xml:space="preserve">Define what is inside the inventory before collecting data</t>
  </si>
  <si>
    <t xml:space="preserve">Parameter</t>
  </si>
  <si>
    <t xml:space="preserve">Guidance</t>
  </si>
  <si>
    <t xml:space="preserve">Company / entity</t>
  </si>
  <si>
    <t xml:space="preserve">Nordovest Precision Parts S.r.l. (fictional)</t>
  </si>
  <si>
    <t xml:space="preserve">Legal entity or group being reported.</t>
  </si>
  <si>
    <t xml:space="preserve">Reporting period start</t>
  </si>
  <si>
    <t xml:space="preserve">Usually a full calendar or financial year.</t>
  </si>
  <si>
    <t xml:space="preserve">Reporting period end</t>
  </si>
  <si>
    <t xml:space="preserve">Base year</t>
  </si>
  <si>
    <t xml:space="preserve">Year against which future reductions are measured.</t>
  </si>
  <si>
    <t xml:space="preserve">Consolidation approach</t>
  </si>
  <si>
    <t xml:space="preserve">Operational control</t>
  </si>
  <si>
    <t xml:space="preserve">Operational control, financial control or equity share. Apply it consistently.</t>
  </si>
  <si>
    <t xml:space="preserve">Gases covered</t>
  </si>
  <si>
    <t xml:space="preserve">CO2, CH4, N2O, HFCs</t>
  </si>
  <si>
    <t xml:space="preserve">State which of the Kyoto gases are included.</t>
  </si>
  <si>
    <t xml:space="preserve">GWP source</t>
  </si>
  <si>
    <t xml:space="preserve">IPCC AR5, 100-year (CH4 = 28, N2O = 265)</t>
  </si>
  <si>
    <t xml:space="preserve">State the report and time horizon used to convert gases to CO2e.</t>
  </si>
  <si>
    <t xml:space="preserve">Emission factor sources</t>
  </si>
  <si>
    <t xml:space="preserve">ISPRA 430/2026; DESNZ/DEFRA 2026; IPCC AR5 (see Emission_Factors)</t>
  </si>
  <si>
    <t xml:space="preserve">List the databases used. Details go in Emission_Factors.</t>
  </si>
  <si>
    <t xml:space="preserve">Site / entity</t>
  </si>
  <si>
    <t xml:space="preserve">Country</t>
  </si>
  <si>
    <t xml:space="preserve">Activity</t>
  </si>
  <si>
    <t xml:space="preserve">Included? (Yes/No)</t>
  </si>
  <si>
    <t xml:space="preserve">Rationale if excluded</t>
  </si>
  <si>
    <t xml:space="preserve">HQ Milan</t>
  </si>
  <si>
    <t xml:space="preserve">Italy</t>
  </si>
  <si>
    <t xml:space="preserve">Offices</t>
  </si>
  <si>
    <t xml:space="preserve">Yes</t>
  </si>
  <si>
    <t xml:space="preserve">Plant 1</t>
  </si>
  <si>
    <t xml:space="preserve">Manufacturing</t>
  </si>
  <si>
    <t xml:space="preserve">Exclusions and limitations</t>
  </si>
  <si>
    <t xml:space="preserve">Scope 3 categories 1, 3, 4 and 5 are relevant but not quantified in this version (see Scope3_Screening).</t>
  </si>
  <si>
    <t xml:space="preserve">Categories 8, 11, 13, 14 and 15 are judged not relevant for this business; rationale in Scope3_Screening.</t>
  </si>
  <si>
    <t xml:space="preserve">Fuel factors cover CO2 only; CH4 and N2O from combustion are not included. No process emissions or biogenic CO2 sources are assumed.</t>
  </si>
  <si>
    <t xml:space="preserve">Both sites are within the operational-control boundary; no joint ventures or leased-out assets.</t>
  </si>
  <si>
    <t xml:space="preserve">Activity data and emissions</t>
  </si>
  <si>
    <t xml:space="preserve">Blue on yellow = enter data. Grey = formulas. Scope 2: enter one Location row and one Market row with the same kWh.</t>
  </si>
  <si>
    <t xml:space="preserve">Row ID</t>
  </si>
  <si>
    <t xml:space="preserve">Scope (1/2/3)</t>
  </si>
  <si>
    <t xml:space="preserve">Category</t>
  </si>
  <si>
    <t xml:space="preserve">Description</t>
  </si>
  <si>
    <t xml:space="preserve">Quantity</t>
  </si>
  <si>
    <t xml:space="preserve">Unit</t>
  </si>
  <si>
    <t xml:space="preserve">Factor ID</t>
  </si>
  <si>
    <t xml:space="preserve">Scope 2 method</t>
  </si>
  <si>
    <t xml:space="preserve">Factor (kg CO2e / unit)</t>
  </si>
  <si>
    <t xml:space="preserve">Emissions (tCO2e)</t>
  </si>
  <si>
    <t xml:space="preserve">Data source / owner</t>
  </si>
  <si>
    <t xml:space="preserve">Data quality (1-5)</t>
  </si>
  <si>
    <t xml:space="preserve">Check</t>
  </si>
  <si>
    <t xml:space="preserve">Notes</t>
  </si>
  <si>
    <t xml:space="preserve">A-001</t>
  </si>
  <si>
    <t xml:space="preserve">Mobile combustion</t>
  </si>
  <si>
    <t xml:space="preserve">Diesel for fleet and generator (from delivery notes)</t>
  </si>
  <si>
    <t xml:space="preserve">tonne</t>
  </si>
  <si>
    <t xml:space="preserve">EF-001</t>
  </si>
  <si>
    <t xml:space="preserve">Fuel delivery notes (Fleet manager)</t>
  </si>
  <si>
    <t xml:space="preserve">Fictional data for illustration.</t>
  </si>
  <si>
    <t xml:space="preserve">A-002</t>
  </si>
  <si>
    <t xml:space="preserve">Stationary combustion</t>
  </si>
  <si>
    <t xml:space="preserve">Natural gas for boilers</t>
  </si>
  <si>
    <t xml:space="preserve">m3</t>
  </si>
  <si>
    <t xml:space="preserve">EF-002</t>
  </si>
  <si>
    <t xml:space="preserve">Utility invoices (Facilities)</t>
  </si>
  <si>
    <t xml:space="preserve">A-003</t>
  </si>
  <si>
    <t xml:space="preserve">Fugitive emissions (refrigerants)</t>
  </si>
  <si>
    <t xml:space="preserve">R410A top-up in chillers</t>
  </si>
  <si>
    <t xml:space="preserve">kg</t>
  </si>
  <si>
    <t xml:space="preserve">EF-003</t>
  </si>
  <si>
    <t xml:space="preserve">Maintenance log (Facilities)</t>
  </si>
  <si>
    <t xml:space="preserve">A-004</t>
  </si>
  <si>
    <t xml:space="preserve">Purchased electricity</t>
  </si>
  <si>
    <t xml:space="preserve">Grid electricity</t>
  </si>
  <si>
    <t xml:space="preserve">kWh</t>
  </si>
  <si>
    <t xml:space="preserve">EF-004</t>
  </si>
  <si>
    <t xml:space="preserve">Location</t>
  </si>
  <si>
    <t xml:space="preserve">A-005</t>
  </si>
  <si>
    <t xml:space="preserve">EF-005</t>
  </si>
  <si>
    <t xml:space="preserve">Market</t>
  </si>
  <si>
    <t xml:space="preserve">A-006</t>
  </si>
  <si>
    <t xml:space="preserve">6. Business travel</t>
  </si>
  <si>
    <t xml:space="preserve">Air travel, short-haul economy</t>
  </si>
  <si>
    <t xml:space="preserve">Group</t>
  </si>
  <si>
    <t xml:space="preserve">pkm</t>
  </si>
  <si>
    <t xml:space="preserve">EF-006</t>
  </si>
  <si>
    <t xml:space="preserve">Travel agency report (HR)</t>
  </si>
  <si>
    <t xml:space="preserve">A-007</t>
  </si>
  <si>
    <t xml:space="preserve">7. Employee commuting</t>
  </si>
  <si>
    <t xml:space="preserve">Commuting by car (survey-based)</t>
  </si>
  <si>
    <t xml:space="preserve">km</t>
  </si>
  <si>
    <t xml:space="preserve">EF-007</t>
  </si>
  <si>
    <t xml:space="preserve">Employee survey (HR), extrapolated</t>
  </si>
  <si>
    <t xml:space="preserve">A-008</t>
  </si>
  <si>
    <t xml:space="preserve">A-009</t>
  </si>
  <si>
    <t xml:space="preserve">A-010</t>
  </si>
  <si>
    <t xml:space="preserve">A-011</t>
  </si>
  <si>
    <t xml:space="preserve">A-012</t>
  </si>
  <si>
    <t xml:space="preserve">A-013</t>
  </si>
  <si>
    <t xml:space="preserve">A-014</t>
  </si>
  <si>
    <t xml:space="preserve">A-015</t>
  </si>
  <si>
    <t xml:space="preserve">A-016</t>
  </si>
  <si>
    <t xml:space="preserve">A-017</t>
  </si>
  <si>
    <t xml:space="preserve">A-018</t>
  </si>
  <si>
    <t xml:space="preserve">A-019</t>
  </si>
  <si>
    <t xml:space="preserve">A-020</t>
  </si>
  <si>
    <t xml:space="preserve">A-021</t>
  </si>
  <si>
    <t xml:space="preserve">A-022</t>
  </si>
  <si>
    <t xml:space="preserve">A-023</t>
  </si>
  <si>
    <t xml:space="preserve">A-024</t>
  </si>
  <si>
    <t xml:space="preserve">A-025</t>
  </si>
  <si>
    <t xml:space="preserve">A-026</t>
  </si>
  <si>
    <t xml:space="preserve">A-027</t>
  </si>
  <si>
    <t xml:space="preserve">A-028</t>
  </si>
  <si>
    <t xml:space="preserve">A-029</t>
  </si>
  <si>
    <t xml:space="preserve">A-030</t>
  </si>
  <si>
    <t xml:space="preserve">A-031</t>
  </si>
  <si>
    <t xml:space="preserve">A-032</t>
  </si>
  <si>
    <t xml:space="preserve">A-033</t>
  </si>
  <si>
    <t xml:space="preserve">A-034</t>
  </si>
  <si>
    <t xml:space="preserve">A-035</t>
  </si>
  <si>
    <t xml:space="preserve">A-036</t>
  </si>
  <si>
    <t xml:space="preserve">A-037</t>
  </si>
  <si>
    <t xml:space="preserve">A-038</t>
  </si>
  <si>
    <t xml:space="preserve">A-039</t>
  </si>
  <si>
    <t xml:space="preserve">A-040</t>
  </si>
  <si>
    <t xml:space="preserve">Emission factor library</t>
  </si>
  <si>
    <t xml:space="preserve">kg CO2e per unit. Every factor needs a source, a year and a status (VERIFIED / SECONDARY / PLACEHOLDER).</t>
  </si>
  <si>
    <t xml:space="preserve">Source (publisher + dataset)</t>
  </si>
  <si>
    <t xml:space="preserve">Year</t>
  </si>
  <si>
    <t xml:space="preserve">Status</t>
  </si>
  <si>
    <t xml:space="preserve">Diesel (gasolio), stationary and mobile combustion, CO2 only</t>
  </si>
  <si>
    <t xml:space="preserve">ISPRA Rapporti 430/2026, Table 1.4 (IPCC 2006 default, 3.186 tCO2/t)</t>
  </si>
  <si>
    <t xml:space="preserve">VERIFIED</t>
  </si>
  <si>
    <t xml:space="preserve">CO2 only; CH4 and N2O not included. https://www.isprambiente.gov.it/files2026/pubblicazioni/rapporti/r430-2026-2.pdf</t>
  </si>
  <si>
    <t xml:space="preserve">Natural gas, stationary combustion, CO2 only</t>
  </si>
  <si>
    <t xml:space="preserve">ISPRA Rapporti 430/2026, Table 1.4 (2.026 tCO2 per 1000 Sm3)</t>
  </si>
  <si>
    <t xml:space="preserve">CO2 only; national fuel EF for 2024 (latest final year). Sm3 taken as m3.</t>
  </si>
  <si>
    <t xml:space="preserve">Refrigerant R-410A leakage (GWP-weighted)</t>
  </si>
  <si>
    <t xml:space="preserve">IPCC AR5 100-year GWP, as stated in Arkema Forane 410A datasheet</t>
  </si>
  <si>
    <t xml:space="preserve">SECONDARY</t>
  </si>
  <si>
    <t xml:space="preserve">Confirm against IPCC AR5 WG1 Ch.8 Appendix (HFC-32 and HFC-125 GWPs) or EU F-gas regulation (AR4-based value is different).</t>
  </si>
  <si>
    <t xml:space="preserve">Italian grid electricity, location-based (consumption mix, GHG)</t>
  </si>
  <si>
    <t xml:space="preserve">ISPRA Rapporti 430/2026, Table 1.18 (201.01 g CO2e/kWh)</t>
  </si>
  <si>
    <t xml:space="preserve">2025 value is PRELIMINARY; ISPRA publishes the final value in the next edition.</t>
  </si>
  <si>
    <t xml:space="preserve">Italian residual mix, market-based proxy (CO2)</t>
  </si>
  <si>
    <t xml:space="preserve">ISPRA Rapporti 430/2026, section 1.3 (residual mix 390.9 g CO2/kWh)</t>
  </si>
  <si>
    <t xml:space="preserve">Preliminary, CO2 only, production basis. Not the AIB European Residual Mix: replace with AIB value if required.</t>
  </si>
  <si>
    <t xml:space="preserve">Air travel, short-haul, economy, with radiative forcing</t>
  </si>
  <si>
    <t xml:space="preserve">DESNZ/DEFRA 2026, sheet 'Business travel- air', cell E25 (via greencalculus.com and carbonpass.co)</t>
  </si>
  <si>
    <t xml:space="preserve">UK-based factor; confirm in the official 2026 full-set spreadsheet on GOV.UK.</t>
  </si>
  <si>
    <t xml:space="preserve">Passenger car, average petrol, engine size unknown</t>
  </si>
  <si>
    <t xml:space="preserve">DESNZ/DEFRA 2026, sheet 'Business travel- land' (via greencalculus.com)</t>
  </si>
  <si>
    <t xml:space="preserve">Per vehicle-km, not per passenger-km. Confirm in the official 2026 full-set spreadsheet.</t>
  </si>
  <si>
    <t xml:space="preserve">Results: GHG inventory summary</t>
  </si>
  <si>
    <t xml:space="preserve">Metric</t>
  </si>
  <si>
    <t xml:space="preserve">tCO2e</t>
  </si>
  <si>
    <t xml:space="preserve">% of location-based total</t>
  </si>
  <si>
    <t xml:space="preserve">% of market-based total</t>
  </si>
  <si>
    <t xml:space="preserve">Scope 1 (direct)</t>
  </si>
  <si>
    <t xml:space="preserve">Scope 2, location-based</t>
  </si>
  <si>
    <t xml:space="preserve">Scope 2, market-based</t>
  </si>
  <si>
    <t xml:space="preserve">Scope 3 (value chain)</t>
  </si>
  <si>
    <t xml:space="preserve">Total, location-based (Scope 1 + 2L + 3)</t>
  </si>
  <si>
    <t xml:space="preserve">Total, market-based (Scope 1 + 2M + 3)</t>
  </si>
  <si>
    <t xml:space="preserve">Emissions-weighted data quality (1 = best, 5 = weakest)</t>
  </si>
  <si>
    <t xml:space="preserve">Open row-level check flags</t>
  </si>
  <si>
    <t xml:space="preserve">Scope 3 categories marked relevant but not quantified</t>
  </si>
  <si>
    <t xml:space="preserve">Overall control status</t>
  </si>
  <si>
    <t xml:space="preserve">Scope</t>
  </si>
  <si>
    <t xml:space="preserve">tCO2e (Scope 2 location-based)</t>
  </si>
  <si>
    <t xml:space="preserve">Total</t>
  </si>
  <si>
    <t xml:space="preserve">Scope 3 screening (15 categories)</t>
  </si>
  <si>
    <t xml:space="preserve">Decide which categories are relevant, and explain every exclusion. Emissions are pulled from Activity_Data.</t>
  </si>
  <si>
    <t xml:space="preserve">Relevant?</t>
  </si>
  <si>
    <t xml:space="preserve">Rationale (why relevant or excluded)</t>
  </si>
  <si>
    <t xml:space="preserve">Est. significance</t>
  </si>
  <si>
    <t xml:space="preserve">Data availability</t>
  </si>
  <si>
    <t xml:space="preserve">Quantified in inventory?</t>
  </si>
  <si>
    <t xml:space="preserve">Main category for a manufacturer: metals, components and packaging. Not quantified in this version; needs purchase data and spend-based or supplier factors.</t>
  </si>
  <si>
    <t xml:space="preserve">High</t>
  </si>
  <si>
    <t xml:space="preserve">Partial</t>
  </si>
  <si>
    <t xml:space="preserve">Partly</t>
  </si>
  <si>
    <t xml:space="preserve">Machinery purchases are lumpy from year to year. Not quantified.</t>
  </si>
  <si>
    <t xml:space="preserve">Medium</t>
  </si>
  <si>
    <t xml:space="preserve">Upstream emissions of fuels and electricity, and grid losses. Not quantified; factors exist in the UK government set (well-to-tank) but were not retrieved.</t>
  </si>
  <si>
    <t xml:space="preserve">Inbound freight of materials. Not quantified; needs tonne-km from logistics providers.</t>
  </si>
  <si>
    <t xml:space="preserve">Production waste and scrap handled by contractors. Not quantified; waste records exist by stream.</t>
  </si>
  <si>
    <t xml:space="preserve">Low</t>
  </si>
  <si>
    <t xml:space="preserve">Quantified: short-haul economy flights from the travel agency report (passenger-km).</t>
  </si>
  <si>
    <t xml:space="preserve">Good</t>
  </si>
  <si>
    <t xml:space="preserve">Quantified: car commuting estimated from a survey of 60 of 200 employees and extrapolated.</t>
  </si>
  <si>
    <t xml:space="preserve">No</t>
  </si>
  <si>
    <t xml:space="preserve">No leased assets beyond the offices already inside the operational-control boundary.</t>
  </si>
  <si>
    <t xml:space="preserve">None</t>
  </si>
  <si>
    <t xml:space="preserve">Customers usually arrange delivery; small share paid by the company. Not quantified.</t>
  </si>
  <si>
    <t xml:space="preserve">Parts are shipped as components; downstream processing is not known and is excluded.</t>
  </si>
  <si>
    <t xml:space="preserve">Components have no direct energy use in operation; use-phase is attributed to the customer's product.</t>
  </si>
  <si>
    <t xml:space="preserve">Metal parts are largely recycled at end of life; small expected effect. Not quantified.</t>
  </si>
  <si>
    <t xml:space="preserve">The company does not lease assets to others.</t>
  </si>
  <si>
    <t xml:space="preserve">No franchise operations.</t>
  </si>
  <si>
    <t xml:space="preserve">No equity or debt investments in the reporting scope.</t>
  </si>
  <si>
    <t xml:space="preserve">Total Scope 3</t>
  </si>
  <si>
    <t xml:space="preserve">Reduction roadmap (illustrative scenarios)</t>
  </si>
  <si>
    <t xml:space="preserve">Blue percentages are assumptions, not commitments. Baselines come from Results.</t>
  </si>
  <si>
    <t xml:space="preserve">Measure</t>
  </si>
  <si>
    <t xml:space="preserve">Basis</t>
  </si>
  <si>
    <t xml:space="preserve">Baseline (tCO2e)</t>
  </si>
  <si>
    <t xml:space="preserve">Assumed reduction (%)</t>
  </si>
  <si>
    <t xml:space="preserve">Reduction (tCO2e)</t>
  </si>
  <si>
    <t xml:space="preserve">In location-based total?</t>
  </si>
  <si>
    <t xml:space="preserve">In market-based total?</t>
  </si>
  <si>
    <t xml:space="preserve">Renewable electricity (guarantees of origin or PPA)</t>
  </si>
  <si>
    <t xml:space="preserve">Market-based Scope 2</t>
  </si>
  <si>
    <t xml:space="preserve">Assumes covered consumption has zero market-based emissions. Does not change grid emissions, so it is absent from the location-based total.</t>
  </si>
  <si>
    <t xml:space="preserve">Boiler efficiency and controls</t>
  </si>
  <si>
    <t xml:space="preserve">Burner tuning, insulation and controls. Assumed percentage.</t>
  </si>
  <si>
    <t xml:space="preserve">Fleet efficiency and eco-driving</t>
  </si>
  <si>
    <t xml:space="preserve">Driver training and route planning. Assumed percentage.</t>
  </si>
  <si>
    <t xml:space="preserve">Refrigerant leak detection and repair</t>
  </si>
  <si>
    <t xml:space="preserve">Fugitive emissions</t>
  </si>
  <si>
    <t xml:space="preserve">Leak checks and faster repair. Assumed percentage.</t>
  </si>
  <si>
    <t xml:space="preserve">Reduce air travel</t>
  </si>
  <si>
    <t xml:space="preserve">Category 6</t>
  </si>
  <si>
    <t xml:space="preserve">Virtual meetings and rail for short trips. Assumed percentage.</t>
  </si>
  <si>
    <t xml:space="preserve">Commuting modal shift</t>
  </si>
  <si>
    <t xml:space="preserve">Category 7</t>
  </si>
  <si>
    <t xml:space="preserve">Shuttle, public transport support and remote work. Assumed percentage.</t>
  </si>
  <si>
    <t xml:space="preserve">Reductions counted in location-based total</t>
  </si>
  <si>
    <t xml:space="preserve">Reductions counted in market-based total</t>
  </si>
  <si>
    <t xml:space="preserve">Baseline 2025 (tCO2e)</t>
  </si>
  <si>
    <t xml:space="preserve">After measures (tCO2e)</t>
  </si>
  <si>
    <t xml:space="preserve">Reduction (%)</t>
  </si>
  <si>
    <t xml:space="preserve">Total, location-based</t>
  </si>
  <si>
    <t xml:space="preserve">Total, market-based</t>
  </si>
  <si>
    <t xml:space="preserve">Illustrative target check (Scope 1 + 2)</t>
  </si>
  <si>
    <t xml:space="preserve">Target year</t>
  </si>
  <si>
    <t xml:space="preserve">Target reduction vs 2025 (market-based)</t>
  </si>
  <si>
    <t xml:space="preserve">Baseline Scope 1 + 2, market-based (tCO2e)</t>
  </si>
  <si>
    <t xml:space="preserve">Target level (tCO2e)</t>
  </si>
  <si>
    <t xml:space="preserve">Scope 1 + 2 after measures, market-based (tCO2e)</t>
  </si>
  <si>
    <t xml:space="preserve">Reduction achieved, market-based</t>
  </si>
  <si>
    <t xml:space="preserve">Result</t>
  </si>
  <si>
    <t xml:space="preserve">Baseline Scope 1 + 2, location-based (tCO2e)</t>
  </si>
  <si>
    <t xml:space="preserve">Scope 1 + 2 after measures, location-based (tCO2e)</t>
  </si>
  <si>
    <t xml:space="preserve">Reduction achieved, location-based</t>
  </si>
  <si>
    <t xml:space="preserve">The market-based target is reached mainly through renewable electricity procurement. The location-based result shows the physical reduction without it.</t>
  </si>
  <si>
    <t xml:space="preserve">Data controls</t>
  </si>
  <si>
    <t xml:space="preserve">Automated checks on the inventory. Every line should read PASS before you report.</t>
  </si>
  <si>
    <t xml:space="preserve">#</t>
  </si>
  <si>
    <t xml:space="preserve">What to do if CHECK</t>
  </si>
  <si>
    <t xml:space="preserve">Rows with quantity but no Factor ID</t>
  </si>
  <si>
    <t xml:space="preserve">Enter a Factor ID in Activity_Data.</t>
  </si>
  <si>
    <t xml:space="preserve">Rows with a Factor ID not in Emission_Factors</t>
  </si>
  <si>
    <t xml:space="preserve">Add the factor or correct the ID.</t>
  </si>
  <si>
    <t xml:space="preserve">Rows where unit differs from factor unit</t>
  </si>
  <si>
    <t xml:space="preserve">Convert the quantity or choose a factor with the same unit.</t>
  </si>
  <si>
    <t xml:space="preserve">Rows missing data source or quality score</t>
  </si>
  <si>
    <t xml:space="preserve">Record who provided the data and score its quality.</t>
  </si>
  <si>
    <t xml:space="preserve">Scope 2 rows missing Location / Market method</t>
  </si>
  <si>
    <t xml:space="preserve">Set the method in column I.</t>
  </si>
  <si>
    <t xml:space="preserve">Rows using PLACEHOLDER factors</t>
  </si>
  <si>
    <t xml:space="preserve">Replace with a sourced factor and set Status to VERIFIED or SECONDARY.</t>
  </si>
  <si>
    <t xml:space="preserve">Rows using SECONDARY-source factors (confirm in primary file)</t>
  </si>
  <si>
    <t xml:space="preserve">Open the official dataset, confirm the value and year, then set Status to VERIFIED.</t>
  </si>
  <si>
    <t xml:space="preserve">Scope 2 kWh: Location minus Market (should be 0)</t>
  </si>
  <si>
    <t xml:space="preserve">Both methods must use the same consumption.</t>
  </si>
  <si>
    <t xml:space="preserve">Row total minus scope totals (tCO2e, should be 0)</t>
  </si>
  <si>
    <t xml:space="preserve">A row has a missing or invalid scope or method.</t>
  </si>
  <si>
    <t xml:space="preserve">Rows with quantity but no scope</t>
  </si>
  <si>
    <t xml:space="preserve">Set the scope in column B.</t>
  </si>
  <si>
    <t xml:space="preserve">Scope 3 total minus screening sheet total (tCO2e)</t>
  </si>
  <si>
    <t xml:space="preserve">Use a category from the list for every Scope 3 row.</t>
  </si>
  <si>
    <t xml:space="preserve">Category table total minus Results total (tCO2e)</t>
  </si>
  <si>
    <t xml:space="preserve">A row has a category not in the list.</t>
  </si>
  <si>
    <t xml:space="preserve">Overall status</t>
  </si>
  <si>
    <t xml:space="preserve">Materiality screening (impact and financial)</t>
  </si>
  <si>
    <t xml:space="preserve">Illustrative scoring by the author, 1 (low) to 5 (high). A topic is material if either score reaches the threshold.</t>
  </si>
  <si>
    <t xml:space="preserve">Materiality threshold (score)</t>
  </si>
  <si>
    <t xml:space="preserve">ESRS topic</t>
  </si>
  <si>
    <t xml:space="preserve">ESRS ref</t>
  </si>
  <si>
    <t xml:space="preserve">Impact score (1-5)</t>
  </si>
  <si>
    <t xml:space="preserve">Financial score (1-5)</t>
  </si>
  <si>
    <t xml:space="preserve">Priority score</t>
  </si>
  <si>
    <t xml:space="preserve">Rationale / stakeholders consulted</t>
  </si>
  <si>
    <t xml:space="preserve">Climate change</t>
  </si>
  <si>
    <t xml:space="preserve">E1</t>
  </si>
  <si>
    <t xml:space="preserve">Energy- and gas-intensive production; exposure to carbon costs and customer requests.</t>
  </si>
  <si>
    <t xml:space="preserve">Pollution</t>
  </si>
  <si>
    <t xml:space="preserve">E2</t>
  </si>
  <si>
    <t xml:space="preserve">Air emissions and lubricants from machining; regulated through permits.</t>
  </si>
  <si>
    <t xml:space="preserve">Water and marine resources</t>
  </si>
  <si>
    <t xml:space="preserve">E3</t>
  </si>
  <si>
    <t xml:space="preserve">Low process water use; no high-stress site assumed.</t>
  </si>
  <si>
    <t xml:space="preserve">Biodiversity and ecosystems</t>
  </si>
  <si>
    <t xml:space="preserve">E4</t>
  </si>
  <si>
    <t xml:space="preserve">Urban industrial sites; no protected areas nearby (assumed).</t>
  </si>
  <si>
    <t xml:space="preserve">Resource use and circular economy</t>
  </si>
  <si>
    <t xml:space="preserve">E5</t>
  </si>
  <si>
    <t xml:space="preserve">Metal inputs and scrap: material efficiency drives cost and supply risk.</t>
  </si>
  <si>
    <t xml:space="preserve">Own workforce</t>
  </si>
  <si>
    <t xml:space="preserve">S1</t>
  </si>
  <si>
    <t xml:space="preserve">Manufacturing workforce: health and safety, skills and retention.</t>
  </si>
  <si>
    <t xml:space="preserve">Workers in the value chain</t>
  </si>
  <si>
    <t xml:space="preserve">S2</t>
  </si>
  <si>
    <t xml:space="preserve">Metals and component suppliers; due-diligence expectations from customers.</t>
  </si>
  <si>
    <t xml:space="preserve">Affected communities</t>
  </si>
  <si>
    <t xml:space="preserve">S3</t>
  </si>
  <si>
    <t xml:space="preserve">Plant in an industrial area; limited noise and traffic effects.</t>
  </si>
  <si>
    <t xml:space="preserve">Consumers and end-users</t>
  </si>
  <si>
    <t xml:space="preserve">S4</t>
  </si>
  <si>
    <t xml:space="preserve">B2B components; no direct consumers.</t>
  </si>
  <si>
    <t xml:space="preserve">Business conduct</t>
  </si>
  <si>
    <t xml:space="preserve">G1</t>
  </si>
  <si>
    <t xml:space="preserve">Supplier and customer ethics; anti-corruption policies required by large customers.</t>
  </si>
  <si>
    <t xml:space="preserve">Scoring guide: impact = scale, scope and irremediability of the company's effect on people or environment; financial = size and likelihood of effect on the company's cash flows, access to finance or cost of capital. Document the method in Assumptions_Log.</t>
  </si>
  <si>
    <t xml:space="preserve">ESRS E1 (climate change): where this workbook feeds each disclosure</t>
  </si>
  <si>
    <t xml:space="preserve">ESRS and CSRD are under revision (EU Omnibus). Verify the current text before relying on this list.</t>
  </si>
  <si>
    <t xml:space="preserve">Disclosure requirement</t>
  </si>
  <si>
    <t xml:space="preserve">Title</t>
  </si>
  <si>
    <t xml:space="preserve">Workbook source</t>
  </si>
  <si>
    <t xml:space="preserve">Owner</t>
  </si>
  <si>
    <t xml:space="preserve">E1-1</t>
  </si>
  <si>
    <t xml:space="preserve">Transition plan for climate change mitigation</t>
  </si>
  <si>
    <t xml:space="preserve">Not in this workbook. The baseline in Results is the starting point.</t>
  </si>
  <si>
    <t xml:space="preserve">In progress</t>
  </si>
  <si>
    <t xml:space="preserve">Draft roadmap in Reduction_Scenarios; no board-approved plan.</t>
  </si>
  <si>
    <t xml:space="preserve">E1-2</t>
  </si>
  <si>
    <t xml:space="preserve">Policies related to climate change mitigation and adaptation</t>
  </si>
  <si>
    <t xml:space="preserve">Not in this workbook.</t>
  </si>
  <si>
    <t xml:space="preserve">Not started</t>
  </si>
  <si>
    <t xml:space="preserve">E1-3</t>
  </si>
  <si>
    <t xml:space="preserve">Actions and resources in relation to climate change policies</t>
  </si>
  <si>
    <t xml:space="preserve">Not in this workbook. Largest sources in Results guide where to act.</t>
  </si>
  <si>
    <t xml:space="preserve">Measures and assumed reductions in Reduction_Scenarios.</t>
  </si>
  <si>
    <t xml:space="preserve">E1-4</t>
  </si>
  <si>
    <t xml:space="preserve">Targets related to climate change mitigation and adaptation</t>
  </si>
  <si>
    <t xml:space="preserve">Base year (Boundary) and baseline emissions (Results).</t>
  </si>
  <si>
    <t xml:space="preserve">Data available</t>
  </si>
  <si>
    <t xml:space="preserve">Base year 2025 and baseline set; target in Reduction_Scenarios is illustrative, not SBTi-validated.</t>
  </si>
  <si>
    <t xml:space="preserve">E1-5</t>
  </si>
  <si>
    <t xml:space="preserve">Energy consumption and mix</t>
  </si>
  <si>
    <t xml:space="preserve">Activity_Data fuel and electricity rows. Renewable share and energy conversion not yet included.</t>
  </si>
  <si>
    <t xml:space="preserve">Fuel and electricity quantities available; energy mix and renewable share still to add.</t>
  </si>
  <si>
    <t xml:space="preserve">E1-6</t>
  </si>
  <si>
    <t xml:space="preserve">Gross Scopes 1, 2, 3 and total GHG emissions</t>
  </si>
  <si>
    <t xml:space="preserve">Results rows 7-12 and the category table.</t>
  </si>
  <si>
    <t xml:space="preserve">Scope 2 disclosed both location- and market-based; Scope 3 partial (2 of 15 categories).</t>
  </si>
  <si>
    <t xml:space="preserve">E1-7</t>
  </si>
  <si>
    <t xml:space="preserve">GHG removals and carbon credits</t>
  </si>
  <si>
    <t xml:space="preserve">E1-8</t>
  </si>
  <si>
    <t xml:space="preserve">Internal carbon pricing</t>
  </si>
  <si>
    <t xml:space="preserve">E1-9</t>
  </si>
  <si>
    <t xml:space="preserve">Anticipated financial effects from material physical and transition risks</t>
  </si>
  <si>
    <t xml:space="preserve">Data governance register</t>
  </si>
  <si>
    <t xml:space="preserve">Who owns each data source, where it comes from, and how it is checked. Supports traceability and audit readiness.</t>
  </si>
  <si>
    <t xml:space="preserve">Data item</t>
  </si>
  <si>
    <t xml:space="preserve">Owner (role)</t>
  </si>
  <si>
    <t xml:space="preserve">Source system / document</t>
  </si>
  <si>
    <t xml:space="preserve">Update frequency</t>
  </si>
  <si>
    <t xml:space="preserve">Control performed</t>
  </si>
  <si>
    <t xml:space="preserve">Evidence location</t>
  </si>
  <si>
    <t xml:space="preserve">Last reviewed</t>
  </si>
  <si>
    <t xml:space="preserve">Diesel purchases</t>
  </si>
  <si>
    <t xml:space="preserve">Fleet manager</t>
  </si>
  <si>
    <t xml:space="preserve">Fuel delivery notes</t>
  </si>
  <si>
    <t xml:space="preserve">Monthly</t>
  </si>
  <si>
    <t xml:space="preserve">Delivery notes reconciled to supplier invoices</t>
  </si>
  <si>
    <t xml:space="preserve">Shared drive /ESG/2025/fuel/</t>
  </si>
  <si>
    <t xml:space="preserve">Natural gas consumption</t>
  </si>
  <si>
    <t xml:space="preserve">Facilities manager</t>
  </si>
  <si>
    <t xml:space="preserve">Utility invoices (PDF) and ERP</t>
  </si>
  <si>
    <t xml:space="preserve">Invoice totals reconciled to meter readings; change above 20% month on month investigated</t>
  </si>
  <si>
    <t xml:space="preserve">Shared drive /ESG/2025/gas/</t>
  </si>
  <si>
    <t xml:space="preserve">Refrigerant top-ups</t>
  </si>
  <si>
    <t xml:space="preserve">Maintenance lead</t>
  </si>
  <si>
    <t xml:space="preserve">Maintenance log and technician reports</t>
  </si>
  <si>
    <t xml:space="preserve">Per event</t>
  </si>
  <si>
    <t xml:space="preserve">Quantity checked against F-gas register</t>
  </si>
  <si>
    <t xml:space="preserve">Shared drive /ESG/2025/refrigerants/</t>
  </si>
  <si>
    <t xml:space="preserve">Electricity consumption</t>
  </si>
  <si>
    <t xml:space="preserve">Invoice kWh reconciled to sub-meter totals</t>
  </si>
  <si>
    <t xml:space="preserve">Shared drive /ESG/2025/electricity/</t>
  </si>
  <si>
    <t xml:space="preserve">Business flights</t>
  </si>
  <si>
    <t xml:space="preserve">HR / travel desk</t>
  </si>
  <si>
    <t xml:space="preserve">Travel agency annual report</t>
  </si>
  <si>
    <t xml:space="preserve">Annual</t>
  </si>
  <si>
    <t xml:space="preserve">Passenger-km recomputed for a sample of 10 trips</t>
  </si>
  <si>
    <t xml:space="preserve">Shared drive /ESG/2025/travel/</t>
  </si>
  <si>
    <t xml:space="preserve">Employee commuting</t>
  </si>
  <si>
    <t xml:space="preserve">HR</t>
  </si>
  <si>
    <t xml:space="preserve">Employee survey (60 of 200 responses)</t>
  </si>
  <si>
    <t xml:space="preserve">Response rate and extrapolation documented in assumptions log</t>
  </si>
  <si>
    <t xml:space="preserve">Shared drive /ESG/2025/commuting/</t>
  </si>
  <si>
    <t xml:space="preserve">1-3</t>
  </si>
  <si>
    <t xml:space="preserve">ESG analyst</t>
  </si>
  <si>
    <t xml:space="preserve">ISPRA, DESNZ, IPCC publications</t>
  </si>
  <si>
    <t xml:space="preserve">Every factor has source, year and status; SECONDARY factors flagged</t>
  </si>
  <si>
    <t xml:space="preserve">Emission_Factors sheet</t>
  </si>
  <si>
    <t xml:space="preserve">Inventory model</t>
  </si>
  <si>
    <t xml:space="preserve">This workbook</t>
  </si>
  <si>
    <t xml:space="preserve">12 automated checks on the Controls sheet; second-person review before release</t>
  </si>
  <si>
    <t xml:space="preserve">Controls sheet</t>
  </si>
  <si>
    <t xml:space="preserve">Assumptions log</t>
  </si>
  <si>
    <t xml:space="preserve">Record every estimate, proxy, exclusion and methodology choice.</t>
  </si>
  <si>
    <t xml:space="preserve">ID</t>
  </si>
  <si>
    <t xml:space="preserve">Date</t>
  </si>
  <si>
    <t xml:space="preserve">Assumption</t>
  </si>
  <si>
    <t xml:space="preserve">Rationale</t>
  </si>
  <si>
    <t xml:space="preserve">Estimated impact</t>
  </si>
  <si>
    <t xml:space="preserve">Linked rows</t>
  </si>
  <si>
    <t xml:space="preserve">AS-001</t>
  </si>
  <si>
    <t xml:space="preserve">Commuting distance extrapolated from a survey of 60 of 200 employees to full headcount.</t>
  </si>
  <si>
    <t xml:space="preserve">Full survey not available this year.</t>
  </si>
  <si>
    <t xml:space="preserve">Open</t>
  </si>
  <si>
    <t xml:space="preserve">AS-002</t>
  </si>
  <si>
    <t xml:space="preserve">Diesel for fleet and generator combined into one quantity from delivery notes.</t>
  </si>
  <si>
    <t xml:space="preserve">Delivery notes do not split vehicles and generator.</t>
  </si>
  <si>
    <t xml:space="preserve">AS-003</t>
  </si>
  <si>
    <t xml:space="preserve">Market-based Scope 2 uses the ISPRA national residual mix (CO2 only, production basis) as a proxy.</t>
  </si>
  <si>
    <t xml:space="preserve">No supplier-specific or AIB residual mix factor available in this exercise.</t>
  </si>
  <si>
    <t xml:space="preserve">AS-004</t>
  </si>
  <si>
    <t xml:space="preserve">Factor years differ: gas 2024 (latest final), electricity 2025 (preliminary).</t>
  </si>
  <si>
    <t xml:space="preserve">Use the latest published value for each factor.</t>
  </si>
  <si>
    <t xml:space="preserve">A-002, A-004</t>
  </si>
  <si>
    <t xml:space="preserve">AS-005</t>
  </si>
  <si>
    <t xml:space="preserve">UK government (DESNZ) travel factors applied to Italian travel and commuting.</t>
  </si>
  <si>
    <t xml:space="preserve">No Italian equivalent retrieved; UK factors used as an approximation.</t>
  </si>
  <si>
    <t xml:space="preserve">A-006, A-007</t>
  </si>
  <si>
    <t xml:space="preserve">AS-006</t>
  </si>
  <si>
    <t xml:space="preserve">Scope 3 limited to categories 6 and 7; categories 1, 3, 4 and 5 are relevant but not quantified.</t>
  </si>
  <si>
    <t xml:space="preserve">Data not available in this version.</t>
  </si>
  <si>
    <t xml:space="preserve">Scope3_Screening</t>
  </si>
  <si>
    <t xml:space="preserve">AS-007</t>
  </si>
  <si>
    <t xml:space="preserve">Reduction percentages and the 2030 target in Reduction_Scenarios are illustrative assumptions.</t>
  </si>
  <si>
    <t xml:space="preserve">Used to show how the roadmap is built; not company commitments.</t>
  </si>
  <si>
    <t xml:space="preserve">Reduction_Scenarios</t>
  </si>
  <si>
    <t xml:space="preserve">litres</t>
  </si>
  <si>
    <t xml:space="preserve">Dropdown values used by other sheets. Edit with care.</t>
  </si>
  <si>
    <t xml:space="preserve">Process emissions</t>
  </si>
  <si>
    <t xml:space="preserve">Purchased heat, steam and cooling</t>
  </si>
  <si>
    <t xml:space="preserve">tkm</t>
  </si>
  <si>
    <t xml:space="preserve">1. Purchased goods and services</t>
  </si>
  <si>
    <t xml:space="preserve">2. Capital goods</t>
  </si>
  <si>
    <t xml:space="preserve">3. Fuel- and energy-related activities</t>
  </si>
  <si>
    <t xml:space="preserve">EUR</t>
  </si>
  <si>
    <t xml:space="preserve">4. Upstream transportation and distribution</t>
  </si>
  <si>
    <t xml:space="preserve">5. Waste generated in operations</t>
  </si>
  <si>
    <t xml:space="preserve">8. Upstream leased assets</t>
  </si>
  <si>
    <t xml:space="preserve">9. Downstream transportation and distribution</t>
  </si>
  <si>
    <t xml:space="preserve">10. Processing of sold products</t>
  </si>
  <si>
    <t xml:space="preserve">11. Use of sold products</t>
  </si>
  <si>
    <t xml:space="preserve">12. End-of-life treatment of sold products</t>
  </si>
  <si>
    <t xml:space="preserve">13. Downstream leased assets</t>
  </si>
  <si>
    <t xml:space="preserve">14. Franchises</t>
  </si>
  <si>
    <t xml:space="preserve">15. Investments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</si>
</sst>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;\(#,##0.0\);\-"/>
    <numFmt numFmtId="166" formatCode="0.0%;\(0.0%\);\-"/>
    <numFmt numFmtId="167" formatCode="yyyy\-mm\-dd"/>
    <numFmt numFmtId="168" formatCode="0"/>
    <numFmt numFmtId="169" formatCode="#,##0;\(#,##0\);\-"/>
    <numFmt numFmtId="170" formatCode="#,##0.000;\(#,##0.000\);\-"/>
    <numFmt numFmtId="171" formatCode="0.0"/>
    <numFmt numFmtId="172" formatCode="0%"/>
    <numFmt numFmtId="173" formatCode="#,##0.0;\-#,##0.0;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3D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i val="true"/>
      <sz val="10"/>
      <color rgb="FF595959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Emissions by scope (tCO2e)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Results!$A$7:$A$10</c:f>
              <c:strCache>
                <c:ptCount val="4"/>
                <c:pt idx="0">
                  <c:v>Scope 1 (direct)</c:v>
                </c:pt>
                <c:pt idx="1">
                  <c:v>Scope 2, location-based</c:v>
                </c:pt>
                <c:pt idx="2">
                  <c:v>Scope 2, market-based</c:v>
                </c:pt>
                <c:pt idx="3">
                  <c:v>Scope 3 (value chain)</c:v>
                </c:pt>
              </c:strCache>
            </c:strRef>
          </c:cat>
          <c:val>
            <c:numRef>
              <c:f>Results!$B$7:$B$10</c:f>
              <c:numCache>
                <c:formatCode>#,##0.0;\(#,##0.0\);\-</c:formatCode>
                <c:ptCount val="4"/>
                <c:pt idx="0">
                  <c:v>108.032</c:v>
                </c:pt>
                <c:pt idx="1">
                  <c:v>90.4545</c:v>
                </c:pt>
                <c:pt idx="2">
                  <c:v>175.905</c:v>
                </c:pt>
                <c:pt idx="3">
                  <c:v>63.0168</c:v>
                </c:pt>
              </c:numCache>
            </c:numRef>
          </c:val>
        </c:ser>
        <c:gapWidth val="150"/>
        <c:overlap val="0"/>
        <c:axId val="67071667"/>
        <c:axId val="97889605"/>
      </c:barChart>
      <c:catAx>
        <c:axId val="670716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889605"/>
        <c:crosses val="autoZero"/>
        <c:auto val="1"/>
        <c:lblAlgn val="ctr"/>
        <c:lblOffset val="100"/>
        <c:noMultiLvlLbl val="0"/>
      </c:catAx>
      <c:valAx>
        <c:axId val="978896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;\(#,##0.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0716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Assumed reduction by measure (tCO2e)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Reduction_Scenarios!$A$5:$A$10</c:f>
              <c:strCache>
                <c:ptCount val="6"/>
                <c:pt idx="0">
                  <c:v>Renewable electricity (guarantees of origin or PPA)</c:v>
                </c:pt>
                <c:pt idx="1">
                  <c:v>Boiler efficiency and controls</c:v>
                </c:pt>
                <c:pt idx="2">
                  <c:v>Fleet efficiency and eco-driving</c:v>
                </c:pt>
                <c:pt idx="3">
                  <c:v>Refrigerant leak detection and repair</c:v>
                </c:pt>
                <c:pt idx="4">
                  <c:v>Reduce air travel</c:v>
                </c:pt>
                <c:pt idx="5">
                  <c:v>Commuting modal shift</c:v>
                </c:pt>
              </c:strCache>
            </c:strRef>
          </c:cat>
          <c:val>
            <c:numRef>
              <c:f>Reduction_Scenarios!$F$5:$F$10</c:f>
              <c:numCache>
                <c:formatCode>#,##0.0;\(#,##0.0\);\-</c:formatCode>
                <c:ptCount val="6"/>
                <c:pt idx="0">
                  <c:v>175.905</c:v>
                </c:pt>
                <c:pt idx="1">
                  <c:v>9.117</c:v>
                </c:pt>
                <c:pt idx="2">
                  <c:v>3.186</c:v>
                </c:pt>
                <c:pt idx="3">
                  <c:v>7.696</c:v>
                </c:pt>
                <c:pt idx="4">
                  <c:v>4.52736</c:v>
                </c:pt>
                <c:pt idx="5">
                  <c:v>8.076</c:v>
                </c:pt>
              </c:numCache>
            </c:numRef>
          </c:val>
        </c:ser>
        <c:gapWidth val="150"/>
        <c:overlap val="0"/>
        <c:axId val="79808769"/>
        <c:axId val="85470546"/>
      </c:barChart>
      <c:catAx>
        <c:axId val="798087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470546"/>
        <c:crosses val="autoZero"/>
        <c:auto val="1"/>
        <c:lblAlgn val="ctr"/>
        <c:lblOffset val="100"/>
        <c:noMultiLvlLbl val="0"/>
      </c:catAx>
      <c:valAx>
        <c:axId val="854705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;\(#,##0.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8087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160560</xdr:rowOff>
    </xdr:from>
    <xdr:to>
      <xdr:col>2</xdr:col>
      <xdr:colOff>966600</xdr:colOff>
      <xdr:row>32</xdr:row>
      <xdr:rowOff>2880</xdr:rowOff>
    </xdr:to>
    <xdr:graphicFrame>
      <xdr:nvGraphicFramePr>
        <xdr:cNvPr id="0" name="Chart 1"/>
        <xdr:cNvGraphicFramePr/>
      </xdr:nvGraphicFramePr>
      <xdr:xfrm>
        <a:off x="0" y="41338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18</xdr:row>
      <xdr:rowOff>48240</xdr:rowOff>
    </xdr:from>
    <xdr:to>
      <xdr:col>8</xdr:col>
      <xdr:colOff>2235600</xdr:colOff>
      <xdr:row>30</xdr:row>
      <xdr:rowOff>139680</xdr:rowOff>
    </xdr:to>
    <xdr:graphicFrame>
      <xdr:nvGraphicFramePr>
        <xdr:cNvPr id="1" name="Chart 1"/>
        <xdr:cNvGraphicFramePr/>
      </xdr:nvGraphicFramePr>
      <xdr:xfrm>
        <a:off x="8599320" y="40384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0"/>
    <col collapsed="false" customWidth="true" hidden="false" outlineLevel="0" max="3" min="3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tr">
        <f aca="false">Boundary!B5&amp;"  |  "&amp;TEXT(Boundary!B6,"yyyy-mm-dd")&amp;" to "&amp;TEXT(Boundary!B7,"yyyy-mm-dd")</f>
        <v>Nordovest Precision Parts S.r.l. (fictional)  |  2025-01-01 to 2025-12-31</v>
      </c>
    </row>
    <row r="4" customFormat="false" ht="31.5" hidden="false" customHeight="true" outlineLevel="0" collapsed="false">
      <c r="A4" s="3" t="s">
        <v>1</v>
      </c>
      <c r="B4" s="3" t="s">
        <v>2</v>
      </c>
      <c r="C4" s="3" t="s">
        <v>3</v>
      </c>
    </row>
    <row r="5" customFormat="false" ht="15" hidden="false" customHeight="false" outlineLevel="0" collapsed="false">
      <c r="A5" s="4" t="s">
        <v>4</v>
      </c>
      <c r="B5" s="5" t="n">
        <f aca="false">Results!B7</f>
        <v>108.032</v>
      </c>
      <c r="C5" s="6" t="s">
        <v>5</v>
      </c>
    </row>
    <row r="6" customFormat="false" ht="15" hidden="false" customHeight="false" outlineLevel="0" collapsed="false">
      <c r="A6" s="4" t="s">
        <v>6</v>
      </c>
      <c r="B6" s="5" t="n">
        <f aca="false">Results!B8</f>
        <v>90.4545</v>
      </c>
      <c r="C6" s="6" t="s">
        <v>7</v>
      </c>
    </row>
    <row r="7" customFormat="false" ht="15" hidden="false" customHeight="false" outlineLevel="0" collapsed="false">
      <c r="A7" s="4" t="s">
        <v>8</v>
      </c>
      <c r="B7" s="5" t="n">
        <f aca="false">Results!B9</f>
        <v>175.905</v>
      </c>
      <c r="C7" s="6" t="s">
        <v>9</v>
      </c>
    </row>
    <row r="8" customFormat="false" ht="15" hidden="false" customHeight="false" outlineLevel="0" collapsed="false">
      <c r="A8" s="4" t="s">
        <v>10</v>
      </c>
      <c r="B8" s="5" t="n">
        <f aca="false">Results!B10</f>
        <v>63.0168</v>
      </c>
      <c r="C8" s="6" t="s">
        <v>11</v>
      </c>
    </row>
    <row r="9" customFormat="false" ht="15" hidden="false" customHeight="false" outlineLevel="0" collapsed="false">
      <c r="A9" s="4" t="s">
        <v>12</v>
      </c>
      <c r="B9" s="5" t="n">
        <f aca="false">Results!B11</f>
        <v>261.5033</v>
      </c>
      <c r="C9" s="6" t="s">
        <v>13</v>
      </c>
    </row>
    <row r="10" customFormat="false" ht="15" hidden="false" customHeight="false" outlineLevel="0" collapsed="false">
      <c r="A10" s="4" t="s">
        <v>14</v>
      </c>
      <c r="B10" s="5" t="n">
        <f aca="false">Results!B12</f>
        <v>346.9538</v>
      </c>
      <c r="C10" s="6" t="s">
        <v>15</v>
      </c>
    </row>
    <row r="11" customFormat="false" ht="15" hidden="false" customHeight="false" outlineLevel="0" collapsed="false">
      <c r="A11" s="4" t="s">
        <v>16</v>
      </c>
      <c r="B11" s="7" t="str">
        <f aca="false">INDEX(Results!A21:A41,MATCH(MAX(Results!C21:C41),Results!C21:C41,0))</f>
        <v>Purchased electricity</v>
      </c>
      <c r="C11" s="6" t="s">
        <v>17</v>
      </c>
    </row>
    <row r="12" customFormat="false" ht="15" hidden="false" customHeight="false" outlineLevel="0" collapsed="false">
      <c r="A12" s="4" t="s">
        <v>18</v>
      </c>
      <c r="B12" s="5" t="n">
        <f aca="false">MAX(Results!C21:C41)</f>
        <v>90.4545</v>
      </c>
      <c r="C12" s="6"/>
    </row>
    <row r="13" customFormat="false" ht="15" hidden="false" customHeight="false" outlineLevel="0" collapsed="false">
      <c r="A13" s="4" t="s">
        <v>19</v>
      </c>
      <c r="B13" s="8" t="n">
        <f aca="false">Reduction_Scenarios!F16</f>
        <v>0.124672843516698</v>
      </c>
      <c r="C13" s="6" t="s">
        <v>20</v>
      </c>
    </row>
    <row r="14" customFormat="false" ht="15" hidden="false" customHeight="false" outlineLevel="0" collapsed="false">
      <c r="A14" s="4" t="s">
        <v>21</v>
      </c>
      <c r="B14" s="8" t="n">
        <f aca="false">Reduction_Scenarios!F17</f>
        <v>0.600965776999704</v>
      </c>
      <c r="C14" s="6" t="s">
        <v>22</v>
      </c>
    </row>
    <row r="15" customFormat="false" ht="54" hidden="false" customHeight="true" outlineLevel="0" collapsed="false">
      <c r="A15" s="4" t="s">
        <v>23</v>
      </c>
      <c r="B15" s="7" t="str">
        <f aca="false">Results!A4</f>
        <v>NOTE: 3 activity rows use SECONDARY-source factors. Confirm them in the primary file before publishing.</v>
      </c>
      <c r="C15" s="6"/>
    </row>
    <row r="16" customFormat="false" ht="15" hidden="false" customHeight="false" outlineLevel="0" collapsed="false">
      <c r="A16" s="4" t="s">
        <v>24</v>
      </c>
      <c r="B16" s="7" t="str">
        <f aca="false">Results!B17</f>
        <v>PASS WITH NOTES</v>
      </c>
      <c r="C16" s="6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26</v>
      </c>
    </row>
    <row r="2" customFormat="false" ht="15" hidden="false" customHeight="false" outlineLevel="0" collapsed="false">
      <c r="A2" s="9" t="s">
        <v>27</v>
      </c>
    </row>
    <row r="4" customFormat="false" ht="23.85" hidden="false" customHeight="false" outlineLevel="0" collapsed="false">
      <c r="A4" s="4" t="s">
        <v>28</v>
      </c>
      <c r="B4" s="6" t="s">
        <v>29</v>
      </c>
    </row>
    <row r="5" customFormat="false" ht="35.05" hidden="false" customHeight="false" outlineLevel="0" collapsed="false">
      <c r="A5" s="4" t="s">
        <v>30</v>
      </c>
      <c r="B5" s="10" t="s">
        <v>31</v>
      </c>
    </row>
    <row r="6" customFormat="false" ht="15" hidden="false" customHeight="false" outlineLevel="0" collapsed="false">
      <c r="A6" s="4" t="s">
        <v>32</v>
      </c>
      <c r="B6" s="6" t="s">
        <v>33</v>
      </c>
    </row>
    <row r="7" customFormat="false" ht="23.85" hidden="false" customHeight="false" outlineLevel="0" collapsed="false">
      <c r="A7" s="4" t="s">
        <v>34</v>
      </c>
      <c r="B7" s="6" t="s">
        <v>35</v>
      </c>
    </row>
    <row r="8" customFormat="false" ht="23.85" hidden="false" customHeight="false" outlineLevel="0" collapsed="false">
      <c r="A8" s="4" t="s">
        <v>36</v>
      </c>
      <c r="B8" s="6" t="s">
        <v>37</v>
      </c>
    </row>
    <row r="9" customFormat="false" ht="15" hidden="false" customHeight="false" outlineLevel="0" collapsed="false">
      <c r="A9" s="4" t="s">
        <v>38</v>
      </c>
      <c r="B9" s="6" t="s">
        <v>39</v>
      </c>
    </row>
    <row r="10" customFormat="false" ht="15" hidden="false" customHeight="false" outlineLevel="0" collapsed="false">
      <c r="A10" s="4" t="s">
        <v>40</v>
      </c>
      <c r="B10" s="6" t="s">
        <v>41</v>
      </c>
    </row>
    <row r="11" customFormat="false" ht="15" hidden="false" customHeight="false" outlineLevel="0" collapsed="false">
      <c r="A11" s="4" t="s">
        <v>42</v>
      </c>
      <c r="B11" s="6" t="s">
        <v>43</v>
      </c>
    </row>
    <row r="12" customFormat="false" ht="15" hidden="false" customHeight="false" outlineLevel="0" collapsed="false">
      <c r="A12" s="4" t="s">
        <v>44</v>
      </c>
      <c r="B12" s="6" t="s">
        <v>45</v>
      </c>
    </row>
    <row r="13" customFormat="false" ht="23.85" hidden="false" customHeight="false" outlineLevel="0" collapsed="false">
      <c r="A13" s="4" t="s">
        <v>46</v>
      </c>
      <c r="B13" s="6" t="s">
        <v>47</v>
      </c>
    </row>
    <row r="14" customFormat="false" ht="23.85" hidden="false" customHeight="false" outlineLevel="0" collapsed="false">
      <c r="A14" s="4" t="s">
        <v>48</v>
      </c>
      <c r="B14" s="6" t="s">
        <v>49</v>
      </c>
    </row>
    <row r="15" customFormat="false" ht="23.85" hidden="false" customHeight="false" outlineLevel="0" collapsed="false">
      <c r="A15" s="4" t="s">
        <v>50</v>
      </c>
      <c r="B15" s="6" t="s">
        <v>51</v>
      </c>
    </row>
    <row r="16" customFormat="false" ht="23.85" hidden="false" customHeight="false" outlineLevel="0" collapsed="false">
      <c r="A16" s="4" t="s">
        <v>52</v>
      </c>
      <c r="B16" s="6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8"/>
    <col collapsed="false" customWidth="true" hidden="false" outlineLevel="0" max="3" min="3" style="0" width="60"/>
    <col collapsed="false" customWidth="true" hidden="false" outlineLevel="0" max="4" min="4" style="0" width="20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54</v>
      </c>
    </row>
    <row r="2" customFormat="false" ht="15" hidden="false" customHeight="false" outlineLevel="0" collapsed="false">
      <c r="A2" s="9" t="s">
        <v>55</v>
      </c>
    </row>
    <row r="4" customFormat="false" ht="31.5" hidden="false" customHeight="true" outlineLevel="0" collapsed="false">
      <c r="A4" s="3" t="s">
        <v>56</v>
      </c>
      <c r="B4" s="3" t="s">
        <v>2</v>
      </c>
      <c r="C4" s="3" t="s">
        <v>57</v>
      </c>
    </row>
    <row r="5" customFormat="false" ht="15" hidden="false" customHeight="false" outlineLevel="0" collapsed="false">
      <c r="A5" s="4" t="s">
        <v>58</v>
      </c>
      <c r="B5" s="11" t="s">
        <v>59</v>
      </c>
      <c r="C5" s="6" t="s">
        <v>60</v>
      </c>
    </row>
    <row r="6" customFormat="false" ht="15" hidden="false" customHeight="false" outlineLevel="0" collapsed="false">
      <c r="A6" s="4" t="s">
        <v>61</v>
      </c>
      <c r="B6" s="12" t="n">
        <v>45658</v>
      </c>
      <c r="C6" s="6" t="s">
        <v>62</v>
      </c>
    </row>
    <row r="7" customFormat="false" ht="15" hidden="false" customHeight="false" outlineLevel="0" collapsed="false">
      <c r="A7" s="4" t="s">
        <v>63</v>
      </c>
      <c r="B7" s="12" t="n">
        <v>46022</v>
      </c>
      <c r="C7" s="6"/>
    </row>
    <row r="8" customFormat="false" ht="15" hidden="false" customHeight="false" outlineLevel="0" collapsed="false">
      <c r="A8" s="4" t="s">
        <v>64</v>
      </c>
      <c r="B8" s="13" t="n">
        <v>2025</v>
      </c>
      <c r="C8" s="6" t="s">
        <v>65</v>
      </c>
    </row>
    <row r="9" customFormat="false" ht="15" hidden="false" customHeight="false" outlineLevel="0" collapsed="false">
      <c r="A9" s="4" t="s">
        <v>66</v>
      </c>
      <c r="B9" s="11" t="s">
        <v>67</v>
      </c>
      <c r="C9" s="6" t="s">
        <v>68</v>
      </c>
    </row>
    <row r="10" customFormat="false" ht="15" hidden="false" customHeight="false" outlineLevel="0" collapsed="false">
      <c r="A10" s="4" t="s">
        <v>69</v>
      </c>
      <c r="B10" s="11" t="s">
        <v>70</v>
      </c>
      <c r="C10" s="6" t="s">
        <v>71</v>
      </c>
    </row>
    <row r="11" customFormat="false" ht="15" hidden="false" customHeight="false" outlineLevel="0" collapsed="false">
      <c r="A11" s="4" t="s">
        <v>72</v>
      </c>
      <c r="B11" s="11" t="s">
        <v>73</v>
      </c>
      <c r="C11" s="6" t="s">
        <v>74</v>
      </c>
    </row>
    <row r="12" customFormat="false" ht="23.85" hidden="false" customHeight="false" outlineLevel="0" collapsed="false">
      <c r="A12" s="4" t="s">
        <v>75</v>
      </c>
      <c r="B12" s="11" t="s">
        <v>76</v>
      </c>
      <c r="C12" s="6" t="s">
        <v>77</v>
      </c>
    </row>
    <row r="15" customFormat="false" ht="31.5" hidden="false" customHeight="true" outlineLevel="0" collapsed="false">
      <c r="A15" s="3" t="s">
        <v>78</v>
      </c>
      <c r="B15" s="3" t="s">
        <v>79</v>
      </c>
      <c r="C15" s="3" t="s">
        <v>80</v>
      </c>
      <c r="D15" s="3" t="s">
        <v>81</v>
      </c>
      <c r="E15" s="3" t="s">
        <v>82</v>
      </c>
    </row>
    <row r="16" customFormat="false" ht="15" hidden="false" customHeight="false" outlineLevel="0" collapsed="false">
      <c r="A16" s="11" t="s">
        <v>83</v>
      </c>
      <c r="B16" s="11" t="s">
        <v>84</v>
      </c>
      <c r="C16" s="11" t="s">
        <v>85</v>
      </c>
      <c r="D16" s="11" t="s">
        <v>86</v>
      </c>
      <c r="E16" s="11"/>
    </row>
    <row r="17" customFormat="false" ht="15" hidden="false" customHeight="false" outlineLevel="0" collapsed="false">
      <c r="A17" s="11" t="s">
        <v>87</v>
      </c>
      <c r="B17" s="11" t="s">
        <v>84</v>
      </c>
      <c r="C17" s="11" t="s">
        <v>88</v>
      </c>
      <c r="D17" s="11" t="s">
        <v>86</v>
      </c>
      <c r="E17" s="11"/>
    </row>
    <row r="18" customFormat="false" ht="15" hidden="false" customHeight="false" outlineLevel="0" collapsed="false">
      <c r="A18" s="11"/>
      <c r="B18" s="11"/>
      <c r="C18" s="11"/>
      <c r="D18" s="11"/>
      <c r="E18" s="11"/>
    </row>
    <row r="19" customFormat="false" ht="15" hidden="false" customHeight="false" outlineLevel="0" collapsed="false">
      <c r="A19" s="11"/>
      <c r="B19" s="11"/>
      <c r="C19" s="11"/>
      <c r="D19" s="11"/>
      <c r="E19" s="11"/>
    </row>
    <row r="20" customFormat="false" ht="15" hidden="false" customHeight="false" outlineLevel="0" collapsed="false">
      <c r="A20" s="11"/>
      <c r="B20" s="11"/>
      <c r="C20" s="11"/>
      <c r="D20" s="11"/>
      <c r="E20" s="11"/>
    </row>
    <row r="21" customFormat="false" ht="15" hidden="false" customHeight="false" outlineLevel="0" collapsed="false">
      <c r="A21" s="11"/>
      <c r="B21" s="11"/>
      <c r="C21" s="11"/>
      <c r="D21" s="11"/>
      <c r="E21" s="11"/>
    </row>
    <row r="22" customFormat="false" ht="15" hidden="false" customHeight="false" outlineLevel="0" collapsed="false">
      <c r="A22" s="11"/>
      <c r="B22" s="11"/>
      <c r="C22" s="11"/>
      <c r="D22" s="11"/>
      <c r="E22" s="11"/>
    </row>
    <row r="23" customFormat="false" ht="15" hidden="false" customHeight="false" outlineLevel="0" collapsed="false">
      <c r="A23" s="11"/>
      <c r="B23" s="11"/>
      <c r="C23" s="11"/>
      <c r="D23" s="11"/>
      <c r="E23" s="11"/>
    </row>
    <row r="26" customFormat="false" ht="31.5" hidden="false" customHeight="true" outlineLevel="0" collapsed="false">
      <c r="A26" s="3" t="s">
        <v>89</v>
      </c>
      <c r="B26" s="3"/>
      <c r="C26" s="3"/>
    </row>
    <row r="27" customFormat="false" ht="35.05" hidden="false" customHeight="false" outlineLevel="0" collapsed="false">
      <c r="A27" s="11" t="s">
        <v>90</v>
      </c>
      <c r="B27" s="11"/>
      <c r="C27" s="11"/>
    </row>
    <row r="28" customFormat="false" ht="35.05" hidden="false" customHeight="false" outlineLevel="0" collapsed="false">
      <c r="A28" s="11" t="s">
        <v>91</v>
      </c>
      <c r="B28" s="11"/>
      <c r="C28" s="11"/>
    </row>
    <row r="29" customFormat="false" ht="46.25" hidden="false" customHeight="false" outlineLevel="0" collapsed="false">
      <c r="A29" s="11" t="s">
        <v>92</v>
      </c>
      <c r="B29" s="11"/>
      <c r="C29" s="11"/>
    </row>
    <row r="30" customFormat="false" ht="35.05" hidden="false" customHeight="false" outlineLevel="0" collapsed="false">
      <c r="A30" s="11" t="s">
        <v>93</v>
      </c>
      <c r="B30" s="11"/>
      <c r="C30" s="11"/>
    </row>
  </sheetData>
  <dataValidations count="2">
    <dataValidation allowBlank="true" errorStyle="stop" operator="between" showDropDown="false" showErrorMessage="false" showInputMessage="false" sqref="B9" type="list">
      <formula1>"Operational control,Financial control,Equity share"</formula1>
      <formula2>0</formula2>
    </dataValidation>
    <dataValidation allowBlank="true" errorStyle="stop" operator="between" showDropDown="false" showErrorMessage="false" showInputMessage="false" sqref="D16:D23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4" min="3" style="0" width="34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1" min="10" style="0" width="14"/>
    <col collapsed="false" customWidth="true" hidden="false" outlineLevel="0" max="12" min="12" style="0" width="34"/>
    <col collapsed="false" customWidth="true" hidden="false" outlineLevel="0" max="13" min="13" style="0" width="10"/>
    <col collapsed="false" customWidth="true" hidden="false" outlineLevel="0" max="14" min="14" style="0" width="20"/>
    <col collapsed="false" customWidth="true" hidden="false" outlineLevel="0" max="15" min="15" style="0" width="40"/>
  </cols>
  <sheetData>
    <row r="1" customFormat="false" ht="17.35" hidden="false" customHeight="false" outlineLevel="0" collapsed="false">
      <c r="A1" s="1" t="s">
        <v>94</v>
      </c>
    </row>
    <row r="2" customFormat="false" ht="15" hidden="false" customHeight="false" outlineLevel="0" collapsed="false">
      <c r="A2" s="9" t="s">
        <v>95</v>
      </c>
    </row>
    <row r="5" customFormat="false" ht="31.5" hidden="false" customHeight="true" outlineLevel="0" collapsed="false">
      <c r="A5" s="3" t="s">
        <v>96</v>
      </c>
      <c r="B5" s="3" t="s">
        <v>97</v>
      </c>
      <c r="C5" s="3" t="s">
        <v>98</v>
      </c>
      <c r="D5" s="3" t="s">
        <v>99</v>
      </c>
      <c r="E5" s="3" t="s">
        <v>78</v>
      </c>
      <c r="F5" s="3" t="s">
        <v>100</v>
      </c>
      <c r="G5" s="3" t="s">
        <v>101</v>
      </c>
      <c r="H5" s="3" t="s">
        <v>102</v>
      </c>
      <c r="I5" s="3" t="s">
        <v>103</v>
      </c>
      <c r="J5" s="3" t="s">
        <v>104</v>
      </c>
      <c r="K5" s="3" t="s">
        <v>105</v>
      </c>
      <c r="L5" s="3" t="s">
        <v>106</v>
      </c>
      <c r="M5" s="3" t="s">
        <v>107</v>
      </c>
      <c r="N5" s="3" t="s">
        <v>108</v>
      </c>
      <c r="O5" s="3" t="s">
        <v>109</v>
      </c>
    </row>
    <row r="6" customFormat="false" ht="23.85" hidden="false" customHeight="false" outlineLevel="0" collapsed="false">
      <c r="A6" s="14" t="s">
        <v>110</v>
      </c>
      <c r="B6" s="11" t="n">
        <v>1</v>
      </c>
      <c r="C6" s="11" t="s">
        <v>111</v>
      </c>
      <c r="D6" s="11" t="s">
        <v>112</v>
      </c>
      <c r="E6" s="11" t="s">
        <v>83</v>
      </c>
      <c r="F6" s="15" t="n">
        <v>10</v>
      </c>
      <c r="G6" s="11" t="s">
        <v>113</v>
      </c>
      <c r="H6" s="11" t="s">
        <v>114</v>
      </c>
      <c r="I6" s="11"/>
      <c r="J6" s="16" t="n">
        <f aca="false">IF(H6="","",IFERROR(INDEX(Emission_Factors!$D$6:$D$55,MATCH(H6,Emission_Factors!$A$6:$A$55,0)),""))</f>
        <v>3186</v>
      </c>
      <c r="K6" s="17" t="n">
        <f aca="false">IF(OR(F6="",J6=""),0,F6*J6/1000)</f>
        <v>31.86</v>
      </c>
      <c r="L6" s="11" t="s">
        <v>115</v>
      </c>
      <c r="M6" s="11" t="n">
        <v>2</v>
      </c>
      <c r="N6" s="14" t="str">
        <f aca="false">IF(F6="","",IF(H6="","NO FACTOR",IF(ISNA(MATCH(H6,Emission_Factors!$A$6:$A$55,0)),"BAD FACTOR ID",IF(INDEX(Emission_Factors!$C$6:$C$55,MATCH(H6,Emission_Factors!$A$6:$A$55,0))&lt;&gt;G6,"UNIT MISMATCH",IF(AND(B6=2,I6=""),"MISSING S2 METHOD",IF(OR(L6="",M6=""),"MISSING SOURCE/DQ","OK"))))))</f>
        <v>OK</v>
      </c>
      <c r="O6" s="11" t="s">
        <v>116</v>
      </c>
    </row>
    <row r="7" customFormat="false" ht="15" hidden="false" customHeight="false" outlineLevel="0" collapsed="false">
      <c r="A7" s="14" t="s">
        <v>117</v>
      </c>
      <c r="B7" s="11" t="n">
        <v>1</v>
      </c>
      <c r="C7" s="11" t="s">
        <v>118</v>
      </c>
      <c r="D7" s="11" t="s">
        <v>119</v>
      </c>
      <c r="E7" s="11" t="s">
        <v>87</v>
      </c>
      <c r="F7" s="15" t="n">
        <v>30000</v>
      </c>
      <c r="G7" s="11" t="s">
        <v>120</v>
      </c>
      <c r="H7" s="11" t="s">
        <v>121</v>
      </c>
      <c r="I7" s="11"/>
      <c r="J7" s="16" t="n">
        <f aca="false">IF(H7="","",IFERROR(INDEX(Emission_Factors!$D$6:$D$55,MATCH(H7,Emission_Factors!$A$6:$A$55,0)),""))</f>
        <v>2.026</v>
      </c>
      <c r="K7" s="17" t="n">
        <f aca="false">IF(OR(F7="",J7=""),0,F7*J7/1000)</f>
        <v>60.78</v>
      </c>
      <c r="L7" s="11" t="s">
        <v>122</v>
      </c>
      <c r="M7" s="11" t="n">
        <v>1</v>
      </c>
      <c r="N7" s="14" t="str">
        <f aca="false">IF(F7="","",IF(H7="","NO FACTOR",IF(ISNA(MATCH(H7,Emission_Factors!$A$6:$A$55,0)),"BAD FACTOR ID",IF(INDEX(Emission_Factors!$C$6:$C$55,MATCH(H7,Emission_Factors!$A$6:$A$55,0))&lt;&gt;G7,"UNIT MISMATCH",IF(AND(B7=2,I7=""),"MISSING S2 METHOD",IF(OR(L7="",M7=""),"MISSING SOURCE/DQ","OK"))))))</f>
        <v>OK</v>
      </c>
      <c r="O7" s="11" t="s">
        <v>116</v>
      </c>
    </row>
    <row r="8" customFormat="false" ht="15" hidden="false" customHeight="false" outlineLevel="0" collapsed="false">
      <c r="A8" s="14" t="s">
        <v>123</v>
      </c>
      <c r="B8" s="11" t="n">
        <v>1</v>
      </c>
      <c r="C8" s="11" t="s">
        <v>124</v>
      </c>
      <c r="D8" s="11" t="s">
        <v>125</v>
      </c>
      <c r="E8" s="11" t="s">
        <v>87</v>
      </c>
      <c r="F8" s="15" t="n">
        <v>8</v>
      </c>
      <c r="G8" s="11" t="s">
        <v>126</v>
      </c>
      <c r="H8" s="11" t="s">
        <v>127</v>
      </c>
      <c r="I8" s="11"/>
      <c r="J8" s="16" t="n">
        <f aca="false">IF(H8="","",IFERROR(INDEX(Emission_Factors!$D$6:$D$55,MATCH(H8,Emission_Factors!$A$6:$A$55,0)),""))</f>
        <v>1924</v>
      </c>
      <c r="K8" s="17" t="n">
        <f aca="false">IF(OR(F8="",J8=""),0,F8*J8/1000)</f>
        <v>15.392</v>
      </c>
      <c r="L8" s="11" t="s">
        <v>128</v>
      </c>
      <c r="M8" s="11" t="n">
        <v>2</v>
      </c>
      <c r="N8" s="14" t="str">
        <f aca="false">IF(F8="","",IF(H8="","NO FACTOR",IF(ISNA(MATCH(H8,Emission_Factors!$A$6:$A$55,0)),"BAD FACTOR ID",IF(INDEX(Emission_Factors!$C$6:$C$55,MATCH(H8,Emission_Factors!$A$6:$A$55,0))&lt;&gt;G8,"UNIT MISMATCH",IF(AND(B8=2,I8=""),"MISSING S2 METHOD",IF(OR(L8="",M8=""),"MISSING SOURCE/DQ","OK"))))))</f>
        <v>OK</v>
      </c>
      <c r="O8" s="11" t="s">
        <v>116</v>
      </c>
    </row>
    <row r="9" customFormat="false" ht="15" hidden="false" customHeight="false" outlineLevel="0" collapsed="false">
      <c r="A9" s="14" t="s">
        <v>129</v>
      </c>
      <c r="B9" s="11" t="n">
        <v>2</v>
      </c>
      <c r="C9" s="11" t="s">
        <v>130</v>
      </c>
      <c r="D9" s="11" t="s">
        <v>131</v>
      </c>
      <c r="E9" s="11" t="s">
        <v>87</v>
      </c>
      <c r="F9" s="15" t="n">
        <v>450000</v>
      </c>
      <c r="G9" s="11" t="s">
        <v>132</v>
      </c>
      <c r="H9" s="11" t="s">
        <v>133</v>
      </c>
      <c r="I9" s="11" t="s">
        <v>134</v>
      </c>
      <c r="J9" s="16" t="n">
        <f aca="false">IF(H9="","",IFERROR(INDEX(Emission_Factors!$D$6:$D$55,MATCH(H9,Emission_Factors!$A$6:$A$55,0)),""))</f>
        <v>0.20101</v>
      </c>
      <c r="K9" s="17" t="n">
        <f aca="false">IF(OR(F9="",J9=""),0,F9*J9/1000)</f>
        <v>90.4545</v>
      </c>
      <c r="L9" s="11" t="s">
        <v>122</v>
      </c>
      <c r="M9" s="11" t="n">
        <v>1</v>
      </c>
      <c r="N9" s="14" t="str">
        <f aca="false">IF(F9="","",IF(H9="","NO FACTOR",IF(ISNA(MATCH(H9,Emission_Factors!$A$6:$A$55,0)),"BAD FACTOR ID",IF(INDEX(Emission_Factors!$C$6:$C$55,MATCH(H9,Emission_Factors!$A$6:$A$55,0))&lt;&gt;G9,"UNIT MISMATCH",IF(AND(B9=2,I9=""),"MISSING S2 METHOD",IF(OR(L9="",M9=""),"MISSING SOURCE/DQ","OK"))))))</f>
        <v>OK</v>
      </c>
      <c r="O9" s="11" t="s">
        <v>116</v>
      </c>
    </row>
    <row r="10" customFormat="false" ht="15" hidden="false" customHeight="false" outlineLevel="0" collapsed="false">
      <c r="A10" s="14" t="s">
        <v>135</v>
      </c>
      <c r="B10" s="11" t="n">
        <v>2</v>
      </c>
      <c r="C10" s="11" t="s">
        <v>130</v>
      </c>
      <c r="D10" s="11" t="s">
        <v>131</v>
      </c>
      <c r="E10" s="11" t="s">
        <v>87</v>
      </c>
      <c r="F10" s="15" t="n">
        <v>450000</v>
      </c>
      <c r="G10" s="11" t="s">
        <v>132</v>
      </c>
      <c r="H10" s="11" t="s">
        <v>136</v>
      </c>
      <c r="I10" s="11" t="s">
        <v>137</v>
      </c>
      <c r="J10" s="16" t="n">
        <f aca="false">IF(H10="","",IFERROR(INDEX(Emission_Factors!$D$6:$D$55,MATCH(H10,Emission_Factors!$A$6:$A$55,0)),""))</f>
        <v>0.3909</v>
      </c>
      <c r="K10" s="17" t="n">
        <f aca="false">IF(OR(F10="",J10=""),0,F10*J10/1000)</f>
        <v>175.905</v>
      </c>
      <c r="L10" s="11" t="s">
        <v>122</v>
      </c>
      <c r="M10" s="11" t="n">
        <v>1</v>
      </c>
      <c r="N10" s="14" t="str">
        <f aca="false">IF(F10="","",IF(H10="","NO FACTOR",IF(ISNA(MATCH(H10,Emission_Factors!$A$6:$A$55,0)),"BAD FACTOR ID",IF(INDEX(Emission_Factors!$C$6:$C$55,MATCH(H10,Emission_Factors!$A$6:$A$55,0))&lt;&gt;G10,"UNIT MISMATCH",IF(AND(B10=2,I10=""),"MISSING S2 METHOD",IF(OR(L10="",M10=""),"MISSING SOURCE/DQ","OK"))))))</f>
        <v>OK</v>
      </c>
      <c r="O10" s="11" t="s">
        <v>116</v>
      </c>
    </row>
    <row r="11" customFormat="false" ht="15" hidden="false" customHeight="false" outlineLevel="0" collapsed="false">
      <c r="A11" s="14" t="s">
        <v>138</v>
      </c>
      <c r="B11" s="11" t="n">
        <v>3</v>
      </c>
      <c r="C11" s="11" t="s">
        <v>139</v>
      </c>
      <c r="D11" s="11" t="s">
        <v>140</v>
      </c>
      <c r="E11" s="11" t="s">
        <v>141</v>
      </c>
      <c r="F11" s="15" t="n">
        <v>180000</v>
      </c>
      <c r="G11" s="11" t="s">
        <v>142</v>
      </c>
      <c r="H11" s="11" t="s">
        <v>143</v>
      </c>
      <c r="I11" s="11"/>
      <c r="J11" s="16" t="n">
        <f aca="false">IF(H11="","",IFERROR(INDEX(Emission_Factors!$D$6:$D$55,MATCH(H11,Emission_Factors!$A$6:$A$55,0)),""))</f>
        <v>0.12576</v>
      </c>
      <c r="K11" s="17" t="n">
        <f aca="false">IF(OR(F11="",J11=""),0,F11*J11/1000)</f>
        <v>22.6368</v>
      </c>
      <c r="L11" s="11" t="s">
        <v>144</v>
      </c>
      <c r="M11" s="11" t="n">
        <v>2</v>
      </c>
      <c r="N11" s="14" t="str">
        <f aca="false">IF(F11="","",IF(H11="","NO FACTOR",IF(ISNA(MATCH(H11,Emission_Factors!$A$6:$A$55,0)),"BAD FACTOR ID",IF(INDEX(Emission_Factors!$C$6:$C$55,MATCH(H11,Emission_Factors!$A$6:$A$55,0))&lt;&gt;G11,"UNIT MISMATCH",IF(AND(B11=2,I11=""),"MISSING S2 METHOD",IF(OR(L11="",M11=""),"MISSING SOURCE/DQ","OK"))))))</f>
        <v>OK</v>
      </c>
      <c r="O11" s="11" t="s">
        <v>116</v>
      </c>
    </row>
    <row r="12" customFormat="false" ht="15" hidden="false" customHeight="false" outlineLevel="0" collapsed="false">
      <c r="A12" s="14" t="s">
        <v>145</v>
      </c>
      <c r="B12" s="11" t="n">
        <v>3</v>
      </c>
      <c r="C12" s="11" t="s">
        <v>146</v>
      </c>
      <c r="D12" s="11" t="s">
        <v>147</v>
      </c>
      <c r="E12" s="11" t="s">
        <v>141</v>
      </c>
      <c r="F12" s="15" t="n">
        <v>250000</v>
      </c>
      <c r="G12" s="11" t="s">
        <v>148</v>
      </c>
      <c r="H12" s="11" t="s">
        <v>149</v>
      </c>
      <c r="I12" s="11"/>
      <c r="J12" s="16" t="n">
        <f aca="false">IF(H12="","",IFERROR(INDEX(Emission_Factors!$D$6:$D$55,MATCH(H12,Emission_Factors!$A$6:$A$55,0)),""))</f>
        <v>0.16152</v>
      </c>
      <c r="K12" s="17" t="n">
        <f aca="false">IF(OR(F12="",J12=""),0,F12*J12/1000)</f>
        <v>40.38</v>
      </c>
      <c r="L12" s="11" t="s">
        <v>150</v>
      </c>
      <c r="M12" s="11" t="n">
        <v>4</v>
      </c>
      <c r="N12" s="14" t="str">
        <f aca="false">IF(F12="","",IF(H12="","NO FACTOR",IF(ISNA(MATCH(H12,Emission_Factors!$A$6:$A$55,0)),"BAD FACTOR ID",IF(INDEX(Emission_Factors!$C$6:$C$55,MATCH(H12,Emission_Factors!$A$6:$A$55,0))&lt;&gt;G12,"UNIT MISMATCH",IF(AND(B12=2,I12=""),"MISSING S2 METHOD",IF(OR(L12="",M12=""),"MISSING SOURCE/DQ","OK"))))))</f>
        <v>OK</v>
      </c>
      <c r="O12" s="11" t="s">
        <v>116</v>
      </c>
    </row>
    <row r="13" customFormat="false" ht="15" hidden="false" customHeight="false" outlineLevel="0" collapsed="false">
      <c r="A13" s="14" t="s">
        <v>151</v>
      </c>
      <c r="B13" s="11"/>
      <c r="C13" s="11"/>
      <c r="D13" s="11"/>
      <c r="E13" s="11"/>
      <c r="F13" s="15"/>
      <c r="G13" s="11"/>
      <c r="H13" s="11"/>
      <c r="I13" s="11"/>
      <c r="J13" s="16" t="str">
        <f aca="false">IF(H13="","",IFERROR(INDEX(Emission_Factors!$D$6:$D$55,MATCH(H13,Emission_Factors!$A$6:$A$55,0)),""))</f>
        <v/>
      </c>
      <c r="K13" s="17" t="n">
        <f aca="false">IF(OR(F13="",J13=""),0,F13*J13/1000)</f>
        <v>0</v>
      </c>
      <c r="L13" s="11"/>
      <c r="M13" s="11"/>
      <c r="N13" s="14" t="str">
        <f aca="false">IF(F13="","",IF(H13="","NO FACTOR",IF(ISNA(MATCH(H13,Emission_Factors!$A$6:$A$55,0)),"BAD FACTOR ID",IF(INDEX(Emission_Factors!$C$6:$C$55,MATCH(H13,Emission_Factors!$A$6:$A$55,0))&lt;&gt;G13,"UNIT MISMATCH",IF(AND(B13=2,I13=""),"MISSING S2 METHOD",IF(OR(L13="",M13=""),"MISSING SOURCE/DQ","OK"))))))</f>
        <v/>
      </c>
      <c r="O13" s="11"/>
    </row>
    <row r="14" customFormat="false" ht="15" hidden="false" customHeight="false" outlineLevel="0" collapsed="false">
      <c r="A14" s="14" t="s">
        <v>152</v>
      </c>
      <c r="B14" s="11"/>
      <c r="C14" s="11"/>
      <c r="D14" s="11"/>
      <c r="E14" s="11"/>
      <c r="F14" s="15"/>
      <c r="G14" s="11"/>
      <c r="H14" s="11"/>
      <c r="I14" s="11"/>
      <c r="J14" s="16" t="str">
        <f aca="false">IF(H14="","",IFERROR(INDEX(Emission_Factors!$D$6:$D$55,MATCH(H14,Emission_Factors!$A$6:$A$55,0)),""))</f>
        <v/>
      </c>
      <c r="K14" s="17" t="n">
        <f aca="false">IF(OR(F14="",J14=""),0,F14*J14/1000)</f>
        <v>0</v>
      </c>
      <c r="L14" s="11"/>
      <c r="M14" s="11"/>
      <c r="N14" s="14" t="str">
        <f aca="false">IF(F14="","",IF(H14="","NO FACTOR",IF(ISNA(MATCH(H14,Emission_Factors!$A$6:$A$55,0)),"BAD FACTOR ID",IF(INDEX(Emission_Factors!$C$6:$C$55,MATCH(H14,Emission_Factors!$A$6:$A$55,0))&lt;&gt;G14,"UNIT MISMATCH",IF(AND(B14=2,I14=""),"MISSING S2 METHOD",IF(OR(L14="",M14=""),"MISSING SOURCE/DQ","OK"))))))</f>
        <v/>
      </c>
      <c r="O14" s="11"/>
    </row>
    <row r="15" customFormat="false" ht="15" hidden="false" customHeight="false" outlineLevel="0" collapsed="false">
      <c r="A15" s="14" t="s">
        <v>153</v>
      </c>
      <c r="B15" s="11"/>
      <c r="C15" s="11"/>
      <c r="D15" s="11"/>
      <c r="E15" s="11"/>
      <c r="F15" s="15"/>
      <c r="G15" s="11"/>
      <c r="H15" s="11"/>
      <c r="I15" s="11"/>
      <c r="J15" s="16" t="str">
        <f aca="false">IF(H15="","",IFERROR(INDEX(Emission_Factors!$D$6:$D$55,MATCH(H15,Emission_Factors!$A$6:$A$55,0)),""))</f>
        <v/>
      </c>
      <c r="K15" s="17" t="n">
        <f aca="false">IF(OR(F15="",J15=""),0,F15*J15/1000)</f>
        <v>0</v>
      </c>
      <c r="L15" s="11"/>
      <c r="M15" s="11"/>
      <c r="N15" s="14" t="str">
        <f aca="false">IF(F15="","",IF(H15="","NO FACTOR",IF(ISNA(MATCH(H15,Emission_Factors!$A$6:$A$55,0)),"BAD FACTOR ID",IF(INDEX(Emission_Factors!$C$6:$C$55,MATCH(H15,Emission_Factors!$A$6:$A$55,0))&lt;&gt;G15,"UNIT MISMATCH",IF(AND(B15=2,I15=""),"MISSING S2 METHOD",IF(OR(L15="",M15=""),"MISSING SOURCE/DQ","OK"))))))</f>
        <v/>
      </c>
      <c r="O15" s="11"/>
    </row>
    <row r="16" customFormat="false" ht="15" hidden="false" customHeight="false" outlineLevel="0" collapsed="false">
      <c r="A16" s="14" t="s">
        <v>154</v>
      </c>
      <c r="B16" s="11"/>
      <c r="C16" s="11"/>
      <c r="D16" s="11"/>
      <c r="E16" s="11"/>
      <c r="F16" s="15"/>
      <c r="G16" s="11"/>
      <c r="H16" s="11"/>
      <c r="I16" s="11"/>
      <c r="J16" s="16" t="str">
        <f aca="false">IF(H16="","",IFERROR(INDEX(Emission_Factors!$D$6:$D$55,MATCH(H16,Emission_Factors!$A$6:$A$55,0)),""))</f>
        <v/>
      </c>
      <c r="K16" s="17" t="n">
        <f aca="false">IF(OR(F16="",J16=""),0,F16*J16/1000)</f>
        <v>0</v>
      </c>
      <c r="L16" s="11"/>
      <c r="M16" s="11"/>
      <c r="N16" s="14" t="str">
        <f aca="false">IF(F16="","",IF(H16="","NO FACTOR",IF(ISNA(MATCH(H16,Emission_Factors!$A$6:$A$55,0)),"BAD FACTOR ID",IF(INDEX(Emission_Factors!$C$6:$C$55,MATCH(H16,Emission_Factors!$A$6:$A$55,0))&lt;&gt;G16,"UNIT MISMATCH",IF(AND(B16=2,I16=""),"MISSING S2 METHOD",IF(OR(L16="",M16=""),"MISSING SOURCE/DQ","OK"))))))</f>
        <v/>
      </c>
      <c r="O16" s="11"/>
    </row>
    <row r="17" customFormat="false" ht="15" hidden="false" customHeight="false" outlineLevel="0" collapsed="false">
      <c r="A17" s="14" t="s">
        <v>155</v>
      </c>
      <c r="B17" s="11"/>
      <c r="C17" s="11"/>
      <c r="D17" s="11"/>
      <c r="E17" s="11"/>
      <c r="F17" s="15"/>
      <c r="G17" s="11"/>
      <c r="H17" s="11"/>
      <c r="I17" s="11"/>
      <c r="J17" s="16" t="str">
        <f aca="false">IF(H17="","",IFERROR(INDEX(Emission_Factors!$D$6:$D$55,MATCH(H17,Emission_Factors!$A$6:$A$55,0)),""))</f>
        <v/>
      </c>
      <c r="K17" s="17" t="n">
        <f aca="false">IF(OR(F17="",J17=""),0,F17*J17/1000)</f>
        <v>0</v>
      </c>
      <c r="L17" s="11"/>
      <c r="M17" s="11"/>
      <c r="N17" s="14" t="str">
        <f aca="false">IF(F17="","",IF(H17="","NO FACTOR",IF(ISNA(MATCH(H17,Emission_Factors!$A$6:$A$55,0)),"BAD FACTOR ID",IF(INDEX(Emission_Factors!$C$6:$C$55,MATCH(H17,Emission_Factors!$A$6:$A$55,0))&lt;&gt;G17,"UNIT MISMATCH",IF(AND(B17=2,I17=""),"MISSING S2 METHOD",IF(OR(L17="",M17=""),"MISSING SOURCE/DQ","OK"))))))</f>
        <v/>
      </c>
      <c r="O17" s="11"/>
    </row>
    <row r="18" customFormat="false" ht="15" hidden="false" customHeight="false" outlineLevel="0" collapsed="false">
      <c r="A18" s="14" t="s">
        <v>156</v>
      </c>
      <c r="B18" s="11"/>
      <c r="C18" s="11"/>
      <c r="D18" s="11"/>
      <c r="E18" s="11"/>
      <c r="F18" s="15"/>
      <c r="G18" s="11"/>
      <c r="H18" s="11"/>
      <c r="I18" s="11"/>
      <c r="J18" s="16" t="str">
        <f aca="false">IF(H18="","",IFERROR(INDEX(Emission_Factors!$D$6:$D$55,MATCH(H18,Emission_Factors!$A$6:$A$55,0)),""))</f>
        <v/>
      </c>
      <c r="K18" s="17" t="n">
        <f aca="false">IF(OR(F18="",J18=""),0,F18*J18/1000)</f>
        <v>0</v>
      </c>
      <c r="L18" s="11"/>
      <c r="M18" s="11"/>
      <c r="N18" s="14" t="str">
        <f aca="false">IF(F18="","",IF(H18="","NO FACTOR",IF(ISNA(MATCH(H18,Emission_Factors!$A$6:$A$55,0)),"BAD FACTOR ID",IF(INDEX(Emission_Factors!$C$6:$C$55,MATCH(H18,Emission_Factors!$A$6:$A$55,0))&lt;&gt;G18,"UNIT MISMATCH",IF(AND(B18=2,I18=""),"MISSING S2 METHOD",IF(OR(L18="",M18=""),"MISSING SOURCE/DQ","OK"))))))</f>
        <v/>
      </c>
      <c r="O18" s="11"/>
    </row>
    <row r="19" customFormat="false" ht="15" hidden="false" customHeight="false" outlineLevel="0" collapsed="false">
      <c r="A19" s="14" t="s">
        <v>157</v>
      </c>
      <c r="B19" s="11"/>
      <c r="C19" s="11"/>
      <c r="D19" s="11"/>
      <c r="E19" s="11"/>
      <c r="F19" s="15"/>
      <c r="G19" s="11"/>
      <c r="H19" s="11"/>
      <c r="I19" s="11"/>
      <c r="J19" s="16" t="str">
        <f aca="false">IF(H19="","",IFERROR(INDEX(Emission_Factors!$D$6:$D$55,MATCH(H19,Emission_Factors!$A$6:$A$55,0)),""))</f>
        <v/>
      </c>
      <c r="K19" s="17" t="n">
        <f aca="false">IF(OR(F19="",J19=""),0,F19*J19/1000)</f>
        <v>0</v>
      </c>
      <c r="L19" s="11"/>
      <c r="M19" s="11"/>
      <c r="N19" s="14" t="str">
        <f aca="false">IF(F19="","",IF(H19="","NO FACTOR",IF(ISNA(MATCH(H19,Emission_Factors!$A$6:$A$55,0)),"BAD FACTOR ID",IF(INDEX(Emission_Factors!$C$6:$C$55,MATCH(H19,Emission_Factors!$A$6:$A$55,0))&lt;&gt;G19,"UNIT MISMATCH",IF(AND(B19=2,I19=""),"MISSING S2 METHOD",IF(OR(L19="",M19=""),"MISSING SOURCE/DQ","OK"))))))</f>
        <v/>
      </c>
      <c r="O19" s="11"/>
    </row>
    <row r="20" customFormat="false" ht="15" hidden="false" customHeight="false" outlineLevel="0" collapsed="false">
      <c r="A20" s="14" t="s">
        <v>158</v>
      </c>
      <c r="B20" s="11"/>
      <c r="C20" s="11"/>
      <c r="D20" s="11"/>
      <c r="E20" s="11"/>
      <c r="F20" s="15"/>
      <c r="G20" s="11"/>
      <c r="H20" s="11"/>
      <c r="I20" s="11"/>
      <c r="J20" s="16" t="str">
        <f aca="false">IF(H20="","",IFERROR(INDEX(Emission_Factors!$D$6:$D$55,MATCH(H20,Emission_Factors!$A$6:$A$55,0)),""))</f>
        <v/>
      </c>
      <c r="K20" s="17" t="n">
        <f aca="false">IF(OR(F20="",J20=""),0,F20*J20/1000)</f>
        <v>0</v>
      </c>
      <c r="L20" s="11"/>
      <c r="M20" s="11"/>
      <c r="N20" s="14" t="str">
        <f aca="false">IF(F20="","",IF(H20="","NO FACTOR",IF(ISNA(MATCH(H20,Emission_Factors!$A$6:$A$55,0)),"BAD FACTOR ID",IF(INDEX(Emission_Factors!$C$6:$C$55,MATCH(H20,Emission_Factors!$A$6:$A$55,0))&lt;&gt;G20,"UNIT MISMATCH",IF(AND(B20=2,I20=""),"MISSING S2 METHOD",IF(OR(L20="",M20=""),"MISSING SOURCE/DQ","OK"))))))</f>
        <v/>
      </c>
      <c r="O20" s="11"/>
    </row>
    <row r="21" customFormat="false" ht="15" hidden="false" customHeight="false" outlineLevel="0" collapsed="false">
      <c r="A21" s="14" t="s">
        <v>159</v>
      </c>
      <c r="B21" s="11"/>
      <c r="C21" s="11"/>
      <c r="D21" s="11"/>
      <c r="E21" s="11"/>
      <c r="F21" s="15"/>
      <c r="G21" s="11"/>
      <c r="H21" s="11"/>
      <c r="I21" s="11"/>
      <c r="J21" s="16" t="str">
        <f aca="false">IF(H21="","",IFERROR(INDEX(Emission_Factors!$D$6:$D$55,MATCH(H21,Emission_Factors!$A$6:$A$55,0)),""))</f>
        <v/>
      </c>
      <c r="K21" s="17" t="n">
        <f aca="false">IF(OR(F21="",J21=""),0,F21*J21/1000)</f>
        <v>0</v>
      </c>
      <c r="L21" s="11"/>
      <c r="M21" s="11"/>
      <c r="N21" s="14" t="str">
        <f aca="false">IF(F21="","",IF(H21="","NO FACTOR",IF(ISNA(MATCH(H21,Emission_Factors!$A$6:$A$55,0)),"BAD FACTOR ID",IF(INDEX(Emission_Factors!$C$6:$C$55,MATCH(H21,Emission_Factors!$A$6:$A$55,0))&lt;&gt;G21,"UNIT MISMATCH",IF(AND(B21=2,I21=""),"MISSING S2 METHOD",IF(OR(L21="",M21=""),"MISSING SOURCE/DQ","OK"))))))</f>
        <v/>
      </c>
      <c r="O21" s="11"/>
    </row>
    <row r="22" customFormat="false" ht="15" hidden="false" customHeight="false" outlineLevel="0" collapsed="false">
      <c r="A22" s="14" t="s">
        <v>160</v>
      </c>
      <c r="B22" s="11"/>
      <c r="C22" s="11"/>
      <c r="D22" s="11"/>
      <c r="E22" s="11"/>
      <c r="F22" s="15"/>
      <c r="G22" s="11"/>
      <c r="H22" s="11"/>
      <c r="I22" s="11"/>
      <c r="J22" s="16" t="str">
        <f aca="false">IF(H22="","",IFERROR(INDEX(Emission_Factors!$D$6:$D$55,MATCH(H22,Emission_Factors!$A$6:$A$55,0)),""))</f>
        <v/>
      </c>
      <c r="K22" s="17" t="n">
        <f aca="false">IF(OR(F22="",J22=""),0,F22*J22/1000)</f>
        <v>0</v>
      </c>
      <c r="L22" s="11"/>
      <c r="M22" s="11"/>
      <c r="N22" s="14" t="str">
        <f aca="false">IF(F22="","",IF(H22="","NO FACTOR",IF(ISNA(MATCH(H22,Emission_Factors!$A$6:$A$55,0)),"BAD FACTOR ID",IF(INDEX(Emission_Factors!$C$6:$C$55,MATCH(H22,Emission_Factors!$A$6:$A$55,0))&lt;&gt;G22,"UNIT MISMATCH",IF(AND(B22=2,I22=""),"MISSING S2 METHOD",IF(OR(L22="",M22=""),"MISSING SOURCE/DQ","OK"))))))</f>
        <v/>
      </c>
      <c r="O22" s="11"/>
    </row>
    <row r="23" customFormat="false" ht="15" hidden="false" customHeight="false" outlineLevel="0" collapsed="false">
      <c r="A23" s="14" t="s">
        <v>161</v>
      </c>
      <c r="B23" s="11"/>
      <c r="C23" s="11"/>
      <c r="D23" s="11"/>
      <c r="E23" s="11"/>
      <c r="F23" s="15"/>
      <c r="G23" s="11"/>
      <c r="H23" s="11"/>
      <c r="I23" s="11"/>
      <c r="J23" s="16" t="str">
        <f aca="false">IF(H23="","",IFERROR(INDEX(Emission_Factors!$D$6:$D$55,MATCH(H23,Emission_Factors!$A$6:$A$55,0)),""))</f>
        <v/>
      </c>
      <c r="K23" s="17" t="n">
        <f aca="false">IF(OR(F23="",J23=""),0,F23*J23/1000)</f>
        <v>0</v>
      </c>
      <c r="L23" s="11"/>
      <c r="M23" s="11"/>
      <c r="N23" s="14" t="str">
        <f aca="false">IF(F23="","",IF(H23="","NO FACTOR",IF(ISNA(MATCH(H23,Emission_Factors!$A$6:$A$55,0)),"BAD FACTOR ID",IF(INDEX(Emission_Factors!$C$6:$C$55,MATCH(H23,Emission_Factors!$A$6:$A$55,0))&lt;&gt;G23,"UNIT MISMATCH",IF(AND(B23=2,I23=""),"MISSING S2 METHOD",IF(OR(L23="",M23=""),"MISSING SOURCE/DQ","OK"))))))</f>
        <v/>
      </c>
      <c r="O23" s="11"/>
    </row>
    <row r="24" customFormat="false" ht="15" hidden="false" customHeight="false" outlineLevel="0" collapsed="false">
      <c r="A24" s="14" t="s">
        <v>162</v>
      </c>
      <c r="B24" s="11"/>
      <c r="C24" s="11"/>
      <c r="D24" s="11"/>
      <c r="E24" s="11"/>
      <c r="F24" s="15"/>
      <c r="G24" s="11"/>
      <c r="H24" s="11"/>
      <c r="I24" s="11"/>
      <c r="J24" s="16" t="str">
        <f aca="false">IF(H24="","",IFERROR(INDEX(Emission_Factors!$D$6:$D$55,MATCH(H24,Emission_Factors!$A$6:$A$55,0)),""))</f>
        <v/>
      </c>
      <c r="K24" s="17" t="n">
        <f aca="false">IF(OR(F24="",J24=""),0,F24*J24/1000)</f>
        <v>0</v>
      </c>
      <c r="L24" s="11"/>
      <c r="M24" s="11"/>
      <c r="N24" s="14" t="str">
        <f aca="false">IF(F24="","",IF(H24="","NO FACTOR",IF(ISNA(MATCH(H24,Emission_Factors!$A$6:$A$55,0)),"BAD FACTOR ID",IF(INDEX(Emission_Factors!$C$6:$C$55,MATCH(H24,Emission_Factors!$A$6:$A$55,0))&lt;&gt;G24,"UNIT MISMATCH",IF(AND(B24=2,I24=""),"MISSING S2 METHOD",IF(OR(L24="",M24=""),"MISSING SOURCE/DQ","OK"))))))</f>
        <v/>
      </c>
      <c r="O24" s="11"/>
    </row>
    <row r="25" customFormat="false" ht="15" hidden="false" customHeight="false" outlineLevel="0" collapsed="false">
      <c r="A25" s="14" t="s">
        <v>163</v>
      </c>
      <c r="B25" s="11"/>
      <c r="C25" s="11"/>
      <c r="D25" s="11"/>
      <c r="E25" s="11"/>
      <c r="F25" s="15"/>
      <c r="G25" s="11"/>
      <c r="H25" s="11"/>
      <c r="I25" s="11"/>
      <c r="J25" s="16" t="str">
        <f aca="false">IF(H25="","",IFERROR(INDEX(Emission_Factors!$D$6:$D$55,MATCH(H25,Emission_Factors!$A$6:$A$55,0)),""))</f>
        <v/>
      </c>
      <c r="K25" s="17" t="n">
        <f aca="false">IF(OR(F25="",J25=""),0,F25*J25/1000)</f>
        <v>0</v>
      </c>
      <c r="L25" s="11"/>
      <c r="M25" s="11"/>
      <c r="N25" s="14" t="str">
        <f aca="false">IF(F25="","",IF(H25="","NO FACTOR",IF(ISNA(MATCH(H25,Emission_Factors!$A$6:$A$55,0)),"BAD FACTOR ID",IF(INDEX(Emission_Factors!$C$6:$C$55,MATCH(H25,Emission_Factors!$A$6:$A$55,0))&lt;&gt;G25,"UNIT MISMATCH",IF(AND(B25=2,I25=""),"MISSING S2 METHOD",IF(OR(L25="",M25=""),"MISSING SOURCE/DQ","OK"))))))</f>
        <v/>
      </c>
      <c r="O25" s="11"/>
    </row>
    <row r="26" customFormat="false" ht="15" hidden="false" customHeight="false" outlineLevel="0" collapsed="false">
      <c r="A26" s="14" t="s">
        <v>164</v>
      </c>
      <c r="B26" s="11"/>
      <c r="C26" s="11"/>
      <c r="D26" s="11"/>
      <c r="E26" s="11"/>
      <c r="F26" s="15"/>
      <c r="G26" s="11"/>
      <c r="H26" s="11"/>
      <c r="I26" s="11"/>
      <c r="J26" s="16" t="str">
        <f aca="false">IF(H26="","",IFERROR(INDEX(Emission_Factors!$D$6:$D$55,MATCH(H26,Emission_Factors!$A$6:$A$55,0)),""))</f>
        <v/>
      </c>
      <c r="K26" s="17" t="n">
        <f aca="false">IF(OR(F26="",J26=""),0,F26*J26/1000)</f>
        <v>0</v>
      </c>
      <c r="L26" s="11"/>
      <c r="M26" s="11"/>
      <c r="N26" s="14" t="str">
        <f aca="false">IF(F26="","",IF(H26="","NO FACTOR",IF(ISNA(MATCH(H26,Emission_Factors!$A$6:$A$55,0)),"BAD FACTOR ID",IF(INDEX(Emission_Factors!$C$6:$C$55,MATCH(H26,Emission_Factors!$A$6:$A$55,0))&lt;&gt;G26,"UNIT MISMATCH",IF(AND(B26=2,I26=""),"MISSING S2 METHOD",IF(OR(L26="",M26=""),"MISSING SOURCE/DQ","OK"))))))</f>
        <v/>
      </c>
      <c r="O26" s="11"/>
    </row>
    <row r="27" customFormat="false" ht="15" hidden="false" customHeight="false" outlineLevel="0" collapsed="false">
      <c r="A27" s="14" t="s">
        <v>165</v>
      </c>
      <c r="B27" s="11"/>
      <c r="C27" s="11"/>
      <c r="D27" s="11"/>
      <c r="E27" s="11"/>
      <c r="F27" s="15"/>
      <c r="G27" s="11"/>
      <c r="H27" s="11"/>
      <c r="I27" s="11"/>
      <c r="J27" s="16" t="str">
        <f aca="false">IF(H27="","",IFERROR(INDEX(Emission_Factors!$D$6:$D$55,MATCH(H27,Emission_Factors!$A$6:$A$55,0)),""))</f>
        <v/>
      </c>
      <c r="K27" s="17" t="n">
        <f aca="false">IF(OR(F27="",J27=""),0,F27*J27/1000)</f>
        <v>0</v>
      </c>
      <c r="L27" s="11"/>
      <c r="M27" s="11"/>
      <c r="N27" s="14" t="str">
        <f aca="false">IF(F27="","",IF(H27="","NO FACTOR",IF(ISNA(MATCH(H27,Emission_Factors!$A$6:$A$55,0)),"BAD FACTOR ID",IF(INDEX(Emission_Factors!$C$6:$C$55,MATCH(H27,Emission_Factors!$A$6:$A$55,0))&lt;&gt;G27,"UNIT MISMATCH",IF(AND(B27=2,I27=""),"MISSING S2 METHOD",IF(OR(L27="",M27=""),"MISSING SOURCE/DQ","OK"))))))</f>
        <v/>
      </c>
      <c r="O27" s="11"/>
    </row>
    <row r="28" customFormat="false" ht="15" hidden="false" customHeight="false" outlineLevel="0" collapsed="false">
      <c r="A28" s="14" t="s">
        <v>166</v>
      </c>
      <c r="B28" s="11"/>
      <c r="C28" s="11"/>
      <c r="D28" s="11"/>
      <c r="E28" s="11"/>
      <c r="F28" s="15"/>
      <c r="G28" s="11"/>
      <c r="H28" s="11"/>
      <c r="I28" s="11"/>
      <c r="J28" s="16" t="str">
        <f aca="false">IF(H28="","",IFERROR(INDEX(Emission_Factors!$D$6:$D$55,MATCH(H28,Emission_Factors!$A$6:$A$55,0)),""))</f>
        <v/>
      </c>
      <c r="K28" s="17" t="n">
        <f aca="false">IF(OR(F28="",J28=""),0,F28*J28/1000)</f>
        <v>0</v>
      </c>
      <c r="L28" s="11"/>
      <c r="M28" s="11"/>
      <c r="N28" s="14" t="str">
        <f aca="false">IF(F28="","",IF(H28="","NO FACTOR",IF(ISNA(MATCH(H28,Emission_Factors!$A$6:$A$55,0)),"BAD FACTOR ID",IF(INDEX(Emission_Factors!$C$6:$C$55,MATCH(H28,Emission_Factors!$A$6:$A$55,0))&lt;&gt;G28,"UNIT MISMATCH",IF(AND(B28=2,I28=""),"MISSING S2 METHOD",IF(OR(L28="",M28=""),"MISSING SOURCE/DQ","OK"))))))</f>
        <v/>
      </c>
      <c r="O28" s="11"/>
    </row>
    <row r="29" customFormat="false" ht="15" hidden="false" customHeight="false" outlineLevel="0" collapsed="false">
      <c r="A29" s="14" t="s">
        <v>167</v>
      </c>
      <c r="B29" s="11"/>
      <c r="C29" s="11"/>
      <c r="D29" s="11"/>
      <c r="E29" s="11"/>
      <c r="F29" s="15"/>
      <c r="G29" s="11"/>
      <c r="H29" s="11"/>
      <c r="I29" s="11"/>
      <c r="J29" s="16" t="str">
        <f aca="false">IF(H29="","",IFERROR(INDEX(Emission_Factors!$D$6:$D$55,MATCH(H29,Emission_Factors!$A$6:$A$55,0)),""))</f>
        <v/>
      </c>
      <c r="K29" s="17" t="n">
        <f aca="false">IF(OR(F29="",J29=""),0,F29*J29/1000)</f>
        <v>0</v>
      </c>
      <c r="L29" s="11"/>
      <c r="M29" s="11"/>
      <c r="N29" s="14" t="str">
        <f aca="false">IF(F29="","",IF(H29="","NO FACTOR",IF(ISNA(MATCH(H29,Emission_Factors!$A$6:$A$55,0)),"BAD FACTOR ID",IF(INDEX(Emission_Factors!$C$6:$C$55,MATCH(H29,Emission_Factors!$A$6:$A$55,0))&lt;&gt;G29,"UNIT MISMATCH",IF(AND(B29=2,I29=""),"MISSING S2 METHOD",IF(OR(L29="",M29=""),"MISSING SOURCE/DQ","OK"))))))</f>
        <v/>
      </c>
      <c r="O29" s="11"/>
    </row>
    <row r="30" customFormat="false" ht="15" hidden="false" customHeight="false" outlineLevel="0" collapsed="false">
      <c r="A30" s="14" t="s">
        <v>168</v>
      </c>
      <c r="B30" s="11"/>
      <c r="C30" s="11"/>
      <c r="D30" s="11"/>
      <c r="E30" s="11"/>
      <c r="F30" s="15"/>
      <c r="G30" s="11"/>
      <c r="H30" s="11"/>
      <c r="I30" s="11"/>
      <c r="J30" s="16" t="str">
        <f aca="false">IF(H30="","",IFERROR(INDEX(Emission_Factors!$D$6:$D$55,MATCH(H30,Emission_Factors!$A$6:$A$55,0)),""))</f>
        <v/>
      </c>
      <c r="K30" s="17" t="n">
        <f aca="false">IF(OR(F30="",J30=""),0,F30*J30/1000)</f>
        <v>0</v>
      </c>
      <c r="L30" s="11"/>
      <c r="M30" s="11"/>
      <c r="N30" s="14" t="str">
        <f aca="false">IF(F30="","",IF(H30="","NO FACTOR",IF(ISNA(MATCH(H30,Emission_Factors!$A$6:$A$55,0)),"BAD FACTOR ID",IF(INDEX(Emission_Factors!$C$6:$C$55,MATCH(H30,Emission_Factors!$A$6:$A$55,0))&lt;&gt;G30,"UNIT MISMATCH",IF(AND(B30=2,I30=""),"MISSING S2 METHOD",IF(OR(L30="",M30=""),"MISSING SOURCE/DQ","OK"))))))</f>
        <v/>
      </c>
      <c r="O30" s="11"/>
    </row>
    <row r="31" customFormat="false" ht="15" hidden="false" customHeight="false" outlineLevel="0" collapsed="false">
      <c r="A31" s="14" t="s">
        <v>169</v>
      </c>
      <c r="B31" s="11"/>
      <c r="C31" s="11"/>
      <c r="D31" s="11"/>
      <c r="E31" s="11"/>
      <c r="F31" s="15"/>
      <c r="G31" s="11"/>
      <c r="H31" s="11"/>
      <c r="I31" s="11"/>
      <c r="J31" s="16" t="str">
        <f aca="false">IF(H31="","",IFERROR(INDEX(Emission_Factors!$D$6:$D$55,MATCH(H31,Emission_Factors!$A$6:$A$55,0)),""))</f>
        <v/>
      </c>
      <c r="K31" s="17" t="n">
        <f aca="false">IF(OR(F31="",J31=""),0,F31*J31/1000)</f>
        <v>0</v>
      </c>
      <c r="L31" s="11"/>
      <c r="M31" s="11"/>
      <c r="N31" s="14" t="str">
        <f aca="false">IF(F31="","",IF(H31="","NO FACTOR",IF(ISNA(MATCH(H31,Emission_Factors!$A$6:$A$55,0)),"BAD FACTOR ID",IF(INDEX(Emission_Factors!$C$6:$C$55,MATCH(H31,Emission_Factors!$A$6:$A$55,0))&lt;&gt;G31,"UNIT MISMATCH",IF(AND(B31=2,I31=""),"MISSING S2 METHOD",IF(OR(L31="",M31=""),"MISSING SOURCE/DQ","OK"))))))</f>
        <v/>
      </c>
      <c r="O31" s="11"/>
    </row>
    <row r="32" customFormat="false" ht="15" hidden="false" customHeight="false" outlineLevel="0" collapsed="false">
      <c r="A32" s="14" t="s">
        <v>170</v>
      </c>
      <c r="B32" s="11"/>
      <c r="C32" s="11"/>
      <c r="D32" s="11"/>
      <c r="E32" s="11"/>
      <c r="F32" s="15"/>
      <c r="G32" s="11"/>
      <c r="H32" s="11"/>
      <c r="I32" s="11"/>
      <c r="J32" s="16" t="str">
        <f aca="false">IF(H32="","",IFERROR(INDEX(Emission_Factors!$D$6:$D$55,MATCH(H32,Emission_Factors!$A$6:$A$55,0)),""))</f>
        <v/>
      </c>
      <c r="K32" s="17" t="n">
        <f aca="false">IF(OR(F32="",J32=""),0,F32*J32/1000)</f>
        <v>0</v>
      </c>
      <c r="L32" s="11"/>
      <c r="M32" s="11"/>
      <c r="N32" s="14" t="str">
        <f aca="false">IF(F32="","",IF(H32="","NO FACTOR",IF(ISNA(MATCH(H32,Emission_Factors!$A$6:$A$55,0)),"BAD FACTOR ID",IF(INDEX(Emission_Factors!$C$6:$C$55,MATCH(H32,Emission_Factors!$A$6:$A$55,0))&lt;&gt;G32,"UNIT MISMATCH",IF(AND(B32=2,I32=""),"MISSING S2 METHOD",IF(OR(L32="",M32=""),"MISSING SOURCE/DQ","OK"))))))</f>
        <v/>
      </c>
      <c r="O32" s="11"/>
    </row>
    <row r="33" customFormat="false" ht="15" hidden="false" customHeight="false" outlineLevel="0" collapsed="false">
      <c r="A33" s="14" t="s">
        <v>171</v>
      </c>
      <c r="B33" s="11"/>
      <c r="C33" s="11"/>
      <c r="D33" s="11"/>
      <c r="E33" s="11"/>
      <c r="F33" s="15"/>
      <c r="G33" s="11"/>
      <c r="H33" s="11"/>
      <c r="I33" s="11"/>
      <c r="J33" s="16" t="str">
        <f aca="false">IF(H33="","",IFERROR(INDEX(Emission_Factors!$D$6:$D$55,MATCH(H33,Emission_Factors!$A$6:$A$55,0)),""))</f>
        <v/>
      </c>
      <c r="K33" s="17" t="n">
        <f aca="false">IF(OR(F33="",J33=""),0,F33*J33/1000)</f>
        <v>0</v>
      </c>
      <c r="L33" s="11"/>
      <c r="M33" s="11"/>
      <c r="N33" s="14" t="str">
        <f aca="false">IF(F33="","",IF(H33="","NO FACTOR",IF(ISNA(MATCH(H33,Emission_Factors!$A$6:$A$55,0)),"BAD FACTOR ID",IF(INDEX(Emission_Factors!$C$6:$C$55,MATCH(H33,Emission_Factors!$A$6:$A$55,0))&lt;&gt;G33,"UNIT MISMATCH",IF(AND(B33=2,I33=""),"MISSING S2 METHOD",IF(OR(L33="",M33=""),"MISSING SOURCE/DQ","OK"))))))</f>
        <v/>
      </c>
      <c r="O33" s="11"/>
    </row>
    <row r="34" customFormat="false" ht="15" hidden="false" customHeight="false" outlineLevel="0" collapsed="false">
      <c r="A34" s="14" t="s">
        <v>172</v>
      </c>
      <c r="B34" s="11"/>
      <c r="C34" s="11"/>
      <c r="D34" s="11"/>
      <c r="E34" s="11"/>
      <c r="F34" s="15"/>
      <c r="G34" s="11"/>
      <c r="H34" s="11"/>
      <c r="I34" s="11"/>
      <c r="J34" s="16" t="str">
        <f aca="false">IF(H34="","",IFERROR(INDEX(Emission_Factors!$D$6:$D$55,MATCH(H34,Emission_Factors!$A$6:$A$55,0)),""))</f>
        <v/>
      </c>
      <c r="K34" s="17" t="n">
        <f aca="false">IF(OR(F34="",J34=""),0,F34*J34/1000)</f>
        <v>0</v>
      </c>
      <c r="L34" s="11"/>
      <c r="M34" s="11"/>
      <c r="N34" s="14" t="str">
        <f aca="false">IF(F34="","",IF(H34="","NO FACTOR",IF(ISNA(MATCH(H34,Emission_Factors!$A$6:$A$55,0)),"BAD FACTOR ID",IF(INDEX(Emission_Factors!$C$6:$C$55,MATCH(H34,Emission_Factors!$A$6:$A$55,0))&lt;&gt;G34,"UNIT MISMATCH",IF(AND(B34=2,I34=""),"MISSING S2 METHOD",IF(OR(L34="",M34=""),"MISSING SOURCE/DQ","OK"))))))</f>
        <v/>
      </c>
      <c r="O34" s="11"/>
    </row>
    <row r="35" customFormat="false" ht="15" hidden="false" customHeight="false" outlineLevel="0" collapsed="false">
      <c r="A35" s="14" t="s">
        <v>173</v>
      </c>
      <c r="B35" s="11"/>
      <c r="C35" s="11"/>
      <c r="D35" s="11"/>
      <c r="E35" s="11"/>
      <c r="F35" s="15"/>
      <c r="G35" s="11"/>
      <c r="H35" s="11"/>
      <c r="I35" s="11"/>
      <c r="J35" s="16" t="str">
        <f aca="false">IF(H35="","",IFERROR(INDEX(Emission_Factors!$D$6:$D$55,MATCH(H35,Emission_Factors!$A$6:$A$55,0)),""))</f>
        <v/>
      </c>
      <c r="K35" s="17" t="n">
        <f aca="false">IF(OR(F35="",J35=""),0,F35*J35/1000)</f>
        <v>0</v>
      </c>
      <c r="L35" s="11"/>
      <c r="M35" s="11"/>
      <c r="N35" s="14" t="str">
        <f aca="false">IF(F35="","",IF(H35="","NO FACTOR",IF(ISNA(MATCH(H35,Emission_Factors!$A$6:$A$55,0)),"BAD FACTOR ID",IF(INDEX(Emission_Factors!$C$6:$C$55,MATCH(H35,Emission_Factors!$A$6:$A$55,0))&lt;&gt;G35,"UNIT MISMATCH",IF(AND(B35=2,I35=""),"MISSING S2 METHOD",IF(OR(L35="",M35=""),"MISSING SOURCE/DQ","OK"))))))</f>
        <v/>
      </c>
      <c r="O35" s="11"/>
    </row>
    <row r="36" customFormat="false" ht="15" hidden="false" customHeight="false" outlineLevel="0" collapsed="false">
      <c r="A36" s="14" t="s">
        <v>174</v>
      </c>
      <c r="B36" s="11"/>
      <c r="C36" s="11"/>
      <c r="D36" s="11"/>
      <c r="E36" s="11"/>
      <c r="F36" s="15"/>
      <c r="G36" s="11"/>
      <c r="H36" s="11"/>
      <c r="I36" s="11"/>
      <c r="J36" s="16" t="str">
        <f aca="false">IF(H36="","",IFERROR(INDEX(Emission_Factors!$D$6:$D$55,MATCH(H36,Emission_Factors!$A$6:$A$55,0)),""))</f>
        <v/>
      </c>
      <c r="K36" s="17" t="n">
        <f aca="false">IF(OR(F36="",J36=""),0,F36*J36/1000)</f>
        <v>0</v>
      </c>
      <c r="L36" s="11"/>
      <c r="M36" s="11"/>
      <c r="N36" s="14" t="str">
        <f aca="false">IF(F36="","",IF(H36="","NO FACTOR",IF(ISNA(MATCH(H36,Emission_Factors!$A$6:$A$55,0)),"BAD FACTOR ID",IF(INDEX(Emission_Factors!$C$6:$C$55,MATCH(H36,Emission_Factors!$A$6:$A$55,0))&lt;&gt;G36,"UNIT MISMATCH",IF(AND(B36=2,I36=""),"MISSING S2 METHOD",IF(OR(L36="",M36=""),"MISSING SOURCE/DQ","OK"))))))</f>
        <v/>
      </c>
      <c r="O36" s="11"/>
    </row>
    <row r="37" customFormat="false" ht="15" hidden="false" customHeight="false" outlineLevel="0" collapsed="false">
      <c r="A37" s="14" t="s">
        <v>175</v>
      </c>
      <c r="B37" s="11"/>
      <c r="C37" s="11"/>
      <c r="D37" s="11"/>
      <c r="E37" s="11"/>
      <c r="F37" s="15"/>
      <c r="G37" s="11"/>
      <c r="H37" s="11"/>
      <c r="I37" s="11"/>
      <c r="J37" s="16" t="str">
        <f aca="false">IF(H37="","",IFERROR(INDEX(Emission_Factors!$D$6:$D$55,MATCH(H37,Emission_Factors!$A$6:$A$55,0)),""))</f>
        <v/>
      </c>
      <c r="K37" s="17" t="n">
        <f aca="false">IF(OR(F37="",J37=""),0,F37*J37/1000)</f>
        <v>0</v>
      </c>
      <c r="L37" s="11"/>
      <c r="M37" s="11"/>
      <c r="N37" s="14" t="str">
        <f aca="false">IF(F37="","",IF(H37="","NO FACTOR",IF(ISNA(MATCH(H37,Emission_Factors!$A$6:$A$55,0)),"BAD FACTOR ID",IF(INDEX(Emission_Factors!$C$6:$C$55,MATCH(H37,Emission_Factors!$A$6:$A$55,0))&lt;&gt;G37,"UNIT MISMATCH",IF(AND(B37=2,I37=""),"MISSING S2 METHOD",IF(OR(L37="",M37=""),"MISSING SOURCE/DQ","OK"))))))</f>
        <v/>
      </c>
      <c r="O37" s="11"/>
    </row>
    <row r="38" customFormat="false" ht="15" hidden="false" customHeight="false" outlineLevel="0" collapsed="false">
      <c r="A38" s="14" t="s">
        <v>176</v>
      </c>
      <c r="B38" s="11"/>
      <c r="C38" s="11"/>
      <c r="D38" s="11"/>
      <c r="E38" s="11"/>
      <c r="F38" s="15"/>
      <c r="G38" s="11"/>
      <c r="H38" s="11"/>
      <c r="I38" s="11"/>
      <c r="J38" s="16" t="str">
        <f aca="false">IF(H38="","",IFERROR(INDEX(Emission_Factors!$D$6:$D$55,MATCH(H38,Emission_Factors!$A$6:$A$55,0)),""))</f>
        <v/>
      </c>
      <c r="K38" s="17" t="n">
        <f aca="false">IF(OR(F38="",J38=""),0,F38*J38/1000)</f>
        <v>0</v>
      </c>
      <c r="L38" s="11"/>
      <c r="M38" s="11"/>
      <c r="N38" s="14" t="str">
        <f aca="false">IF(F38="","",IF(H38="","NO FACTOR",IF(ISNA(MATCH(H38,Emission_Factors!$A$6:$A$55,0)),"BAD FACTOR ID",IF(INDEX(Emission_Factors!$C$6:$C$55,MATCH(H38,Emission_Factors!$A$6:$A$55,0))&lt;&gt;G38,"UNIT MISMATCH",IF(AND(B38=2,I38=""),"MISSING S2 METHOD",IF(OR(L38="",M38=""),"MISSING SOURCE/DQ","OK"))))))</f>
        <v/>
      </c>
      <c r="O38" s="11"/>
    </row>
    <row r="39" customFormat="false" ht="15" hidden="false" customHeight="false" outlineLevel="0" collapsed="false">
      <c r="A39" s="14" t="s">
        <v>177</v>
      </c>
      <c r="B39" s="11"/>
      <c r="C39" s="11"/>
      <c r="D39" s="11"/>
      <c r="E39" s="11"/>
      <c r="F39" s="15"/>
      <c r="G39" s="11"/>
      <c r="H39" s="11"/>
      <c r="I39" s="11"/>
      <c r="J39" s="16" t="str">
        <f aca="false">IF(H39="","",IFERROR(INDEX(Emission_Factors!$D$6:$D$55,MATCH(H39,Emission_Factors!$A$6:$A$55,0)),""))</f>
        <v/>
      </c>
      <c r="K39" s="17" t="n">
        <f aca="false">IF(OR(F39="",J39=""),0,F39*J39/1000)</f>
        <v>0</v>
      </c>
      <c r="L39" s="11"/>
      <c r="M39" s="11"/>
      <c r="N39" s="14" t="str">
        <f aca="false">IF(F39="","",IF(H39="","NO FACTOR",IF(ISNA(MATCH(H39,Emission_Factors!$A$6:$A$55,0)),"BAD FACTOR ID",IF(INDEX(Emission_Factors!$C$6:$C$55,MATCH(H39,Emission_Factors!$A$6:$A$55,0))&lt;&gt;G39,"UNIT MISMATCH",IF(AND(B39=2,I39=""),"MISSING S2 METHOD",IF(OR(L39="",M39=""),"MISSING SOURCE/DQ","OK"))))))</f>
        <v/>
      </c>
      <c r="O39" s="11"/>
    </row>
    <row r="40" customFormat="false" ht="15" hidden="false" customHeight="false" outlineLevel="0" collapsed="false">
      <c r="A40" s="14" t="s">
        <v>178</v>
      </c>
      <c r="B40" s="11"/>
      <c r="C40" s="11"/>
      <c r="D40" s="11"/>
      <c r="E40" s="11"/>
      <c r="F40" s="15"/>
      <c r="G40" s="11"/>
      <c r="H40" s="11"/>
      <c r="I40" s="11"/>
      <c r="J40" s="16" t="str">
        <f aca="false">IF(H40="","",IFERROR(INDEX(Emission_Factors!$D$6:$D$55,MATCH(H40,Emission_Factors!$A$6:$A$55,0)),""))</f>
        <v/>
      </c>
      <c r="K40" s="17" t="n">
        <f aca="false">IF(OR(F40="",J40=""),0,F40*J40/1000)</f>
        <v>0</v>
      </c>
      <c r="L40" s="11"/>
      <c r="M40" s="11"/>
      <c r="N40" s="14" t="str">
        <f aca="false">IF(F40="","",IF(H40="","NO FACTOR",IF(ISNA(MATCH(H40,Emission_Factors!$A$6:$A$55,0)),"BAD FACTOR ID",IF(INDEX(Emission_Factors!$C$6:$C$55,MATCH(H40,Emission_Factors!$A$6:$A$55,0))&lt;&gt;G40,"UNIT MISMATCH",IF(AND(B40=2,I40=""),"MISSING S2 METHOD",IF(OR(L40="",M40=""),"MISSING SOURCE/DQ","OK"))))))</f>
        <v/>
      </c>
      <c r="O40" s="11"/>
    </row>
    <row r="41" customFormat="false" ht="15" hidden="false" customHeight="false" outlineLevel="0" collapsed="false">
      <c r="A41" s="14" t="s">
        <v>179</v>
      </c>
      <c r="B41" s="11"/>
      <c r="C41" s="11"/>
      <c r="D41" s="11"/>
      <c r="E41" s="11"/>
      <c r="F41" s="15"/>
      <c r="G41" s="11"/>
      <c r="H41" s="11"/>
      <c r="I41" s="11"/>
      <c r="J41" s="16" t="str">
        <f aca="false">IF(H41="","",IFERROR(INDEX(Emission_Factors!$D$6:$D$55,MATCH(H41,Emission_Factors!$A$6:$A$55,0)),""))</f>
        <v/>
      </c>
      <c r="K41" s="17" t="n">
        <f aca="false">IF(OR(F41="",J41=""),0,F41*J41/1000)</f>
        <v>0</v>
      </c>
      <c r="L41" s="11"/>
      <c r="M41" s="11"/>
      <c r="N41" s="14" t="str">
        <f aca="false">IF(F41="","",IF(H41="","NO FACTOR",IF(ISNA(MATCH(H41,Emission_Factors!$A$6:$A$55,0)),"BAD FACTOR ID",IF(INDEX(Emission_Factors!$C$6:$C$55,MATCH(H41,Emission_Factors!$A$6:$A$55,0))&lt;&gt;G41,"UNIT MISMATCH",IF(AND(B41=2,I41=""),"MISSING S2 METHOD",IF(OR(L41="",M41=""),"MISSING SOURCE/DQ","OK"))))))</f>
        <v/>
      </c>
      <c r="O41" s="11"/>
    </row>
    <row r="42" customFormat="false" ht="15" hidden="false" customHeight="false" outlineLevel="0" collapsed="false">
      <c r="A42" s="14" t="s">
        <v>180</v>
      </c>
      <c r="B42" s="11"/>
      <c r="C42" s="11"/>
      <c r="D42" s="11"/>
      <c r="E42" s="11"/>
      <c r="F42" s="15"/>
      <c r="G42" s="11"/>
      <c r="H42" s="11"/>
      <c r="I42" s="11"/>
      <c r="J42" s="16" t="str">
        <f aca="false">IF(H42="","",IFERROR(INDEX(Emission_Factors!$D$6:$D$55,MATCH(H42,Emission_Factors!$A$6:$A$55,0)),""))</f>
        <v/>
      </c>
      <c r="K42" s="17" t="n">
        <f aca="false">IF(OR(F42="",J42=""),0,F42*J42/1000)</f>
        <v>0</v>
      </c>
      <c r="L42" s="11"/>
      <c r="M42" s="11"/>
      <c r="N42" s="14" t="str">
        <f aca="false">IF(F42="","",IF(H42="","NO FACTOR",IF(ISNA(MATCH(H42,Emission_Factors!$A$6:$A$55,0)),"BAD FACTOR ID",IF(INDEX(Emission_Factors!$C$6:$C$55,MATCH(H42,Emission_Factors!$A$6:$A$55,0))&lt;&gt;G42,"UNIT MISMATCH",IF(AND(B42=2,I42=""),"MISSING S2 METHOD",IF(OR(L42="",M42=""),"MISSING SOURCE/DQ","OK"))))))</f>
        <v/>
      </c>
      <c r="O42" s="11"/>
    </row>
    <row r="43" customFormat="false" ht="15" hidden="false" customHeight="false" outlineLevel="0" collapsed="false">
      <c r="A43" s="14" t="s">
        <v>181</v>
      </c>
      <c r="B43" s="11"/>
      <c r="C43" s="11"/>
      <c r="D43" s="11"/>
      <c r="E43" s="11"/>
      <c r="F43" s="15"/>
      <c r="G43" s="11"/>
      <c r="H43" s="11"/>
      <c r="I43" s="11"/>
      <c r="J43" s="16" t="str">
        <f aca="false">IF(H43="","",IFERROR(INDEX(Emission_Factors!$D$6:$D$55,MATCH(H43,Emission_Factors!$A$6:$A$55,0)),""))</f>
        <v/>
      </c>
      <c r="K43" s="17" t="n">
        <f aca="false">IF(OR(F43="",J43=""),0,F43*J43/1000)</f>
        <v>0</v>
      </c>
      <c r="L43" s="11"/>
      <c r="M43" s="11"/>
      <c r="N43" s="14" t="str">
        <f aca="false">IF(F43="","",IF(H43="","NO FACTOR",IF(ISNA(MATCH(H43,Emission_Factors!$A$6:$A$55,0)),"BAD FACTOR ID",IF(INDEX(Emission_Factors!$C$6:$C$55,MATCH(H43,Emission_Factors!$A$6:$A$55,0))&lt;&gt;G43,"UNIT MISMATCH",IF(AND(B43=2,I43=""),"MISSING S2 METHOD",IF(OR(L43="",M43=""),"MISSING SOURCE/DQ","OK"))))))</f>
        <v/>
      </c>
      <c r="O43" s="11"/>
    </row>
    <row r="44" customFormat="false" ht="15" hidden="false" customHeight="false" outlineLevel="0" collapsed="false">
      <c r="A44" s="14" t="s">
        <v>182</v>
      </c>
      <c r="B44" s="11"/>
      <c r="C44" s="11"/>
      <c r="D44" s="11"/>
      <c r="E44" s="11"/>
      <c r="F44" s="15"/>
      <c r="G44" s="11"/>
      <c r="H44" s="11"/>
      <c r="I44" s="11"/>
      <c r="J44" s="16" t="str">
        <f aca="false">IF(H44="","",IFERROR(INDEX(Emission_Factors!$D$6:$D$55,MATCH(H44,Emission_Factors!$A$6:$A$55,0)),""))</f>
        <v/>
      </c>
      <c r="K44" s="17" t="n">
        <f aca="false">IF(OR(F44="",J44=""),0,F44*J44/1000)</f>
        <v>0</v>
      </c>
      <c r="L44" s="11"/>
      <c r="M44" s="11"/>
      <c r="N44" s="14" t="str">
        <f aca="false">IF(F44="","",IF(H44="","NO FACTOR",IF(ISNA(MATCH(H44,Emission_Factors!$A$6:$A$55,0)),"BAD FACTOR ID",IF(INDEX(Emission_Factors!$C$6:$C$55,MATCH(H44,Emission_Factors!$A$6:$A$55,0))&lt;&gt;G44,"UNIT MISMATCH",IF(AND(B44=2,I44=""),"MISSING S2 METHOD",IF(OR(L44="",M44=""),"MISSING SOURCE/DQ","OK"))))))</f>
        <v/>
      </c>
      <c r="O44" s="11"/>
    </row>
    <row r="45" customFormat="false" ht="15" hidden="false" customHeight="false" outlineLevel="0" collapsed="false">
      <c r="A45" s="14" t="s">
        <v>183</v>
      </c>
      <c r="B45" s="11"/>
      <c r="C45" s="11"/>
      <c r="D45" s="11"/>
      <c r="E45" s="11"/>
      <c r="F45" s="15"/>
      <c r="G45" s="11"/>
      <c r="H45" s="11"/>
      <c r="I45" s="11"/>
      <c r="J45" s="16" t="str">
        <f aca="false">IF(H45="","",IFERROR(INDEX(Emission_Factors!$D$6:$D$55,MATCH(H45,Emission_Factors!$A$6:$A$55,0)),""))</f>
        <v/>
      </c>
      <c r="K45" s="17" t="n">
        <f aca="false">IF(OR(F45="",J45=""),0,F45*J45/1000)</f>
        <v>0</v>
      </c>
      <c r="L45" s="11"/>
      <c r="M45" s="11"/>
      <c r="N45" s="14" t="str">
        <f aca="false">IF(F45="","",IF(H45="","NO FACTOR",IF(ISNA(MATCH(H45,Emission_Factors!$A$6:$A$55,0)),"BAD FACTOR ID",IF(INDEX(Emission_Factors!$C$6:$C$55,MATCH(H45,Emission_Factors!$A$6:$A$55,0))&lt;&gt;G45,"UNIT MISMATCH",IF(AND(B45=2,I45=""),"MISSING S2 METHOD",IF(OR(L45="",M45=""),"MISSING SOURCE/DQ","OK"))))))</f>
        <v/>
      </c>
      <c r="O45" s="11"/>
    </row>
  </sheetData>
  <conditionalFormatting sqref="N6:N45">
    <cfRule type="expression" priority="2" aboveAverage="0" equalAverage="0" bottom="0" percent="0" rank="0" text="" dxfId="0">
      <formula>AND($N6&lt;&gt;"",$N6&lt;&gt;"OK")</formula>
    </cfRule>
    <cfRule type="expression" priority="3" aboveAverage="0" equalAverage="0" bottom="0" percent="0" rank="0" text="" dxfId="1">
      <formula>$N6="OK"</formula>
    </cfRule>
  </conditionalFormatting>
  <dataValidations count="5">
    <dataValidation allowBlank="true" errorStyle="stop" operator="between" showDropDown="false" showErrorMessage="false" showInputMessage="false" sqref="B6:B45" type="list">
      <formula1>"1,2,3"</formula1>
      <formula2>0</formula2>
    </dataValidation>
    <dataValidation allowBlank="true" errorStyle="stop" operator="between" showDropDown="false" showErrorMessage="false" showInputMessage="false" sqref="C6:C45" type="list">
      <formula1>Lists!$A$1:$A$21</formula1>
      <formula2>0</formula2>
    </dataValidation>
    <dataValidation allowBlank="true" errorStyle="stop" operator="between" showDropDown="false" showErrorMessage="false" showInputMessage="false" sqref="G6:G45" type="list">
      <formula1>Lists!$C$1:$C$9</formula1>
      <formula2>0</formula2>
    </dataValidation>
    <dataValidation allowBlank="true" errorStyle="stop" operator="between" showDropDown="false" showErrorMessage="false" showInputMessage="false" sqref="I6:I45" type="list">
      <formula1>"Location,Market"</formula1>
      <formula2>0</formula2>
    </dataValidation>
    <dataValidation allowBlank="true" errorStyle="stop" operator="between" showDropDown="false" showErrorMessage="false" showInputMessage="false" sqref="M6:M45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4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52"/>
    <col collapsed="false" customWidth="true" hidden="false" outlineLevel="0" max="6" min="6" style="0" width="8"/>
    <col collapsed="false" customWidth="true" hidden="false" outlineLevel="0" max="7" min="7" style="0" width="15"/>
    <col collapsed="false" customWidth="true" hidden="false" outlineLevel="0" max="8" min="8" style="0" width="50"/>
  </cols>
  <sheetData>
    <row r="1" customFormat="false" ht="17.35" hidden="false" customHeight="false" outlineLevel="0" collapsed="false">
      <c r="A1" s="1" t="s">
        <v>184</v>
      </c>
    </row>
    <row r="2" customFormat="false" ht="15" hidden="false" customHeight="false" outlineLevel="0" collapsed="false">
      <c r="A2" s="9" t="s">
        <v>185</v>
      </c>
    </row>
    <row r="5" customFormat="false" ht="31.5" hidden="false" customHeight="true" outlineLevel="0" collapsed="false">
      <c r="A5" s="3" t="s">
        <v>102</v>
      </c>
      <c r="B5" s="3" t="s">
        <v>99</v>
      </c>
      <c r="C5" s="3" t="s">
        <v>101</v>
      </c>
      <c r="D5" s="3" t="s">
        <v>104</v>
      </c>
      <c r="E5" s="3" t="s">
        <v>186</v>
      </c>
      <c r="F5" s="3" t="s">
        <v>187</v>
      </c>
      <c r="G5" s="3" t="s">
        <v>188</v>
      </c>
      <c r="H5" s="3" t="s">
        <v>109</v>
      </c>
    </row>
    <row r="6" customFormat="false" ht="35.05" hidden="false" customHeight="false" outlineLevel="0" collapsed="false">
      <c r="A6" s="11" t="s">
        <v>114</v>
      </c>
      <c r="B6" s="11" t="s">
        <v>189</v>
      </c>
      <c r="C6" s="11" t="s">
        <v>113</v>
      </c>
      <c r="D6" s="18" t="n">
        <v>3186</v>
      </c>
      <c r="E6" s="11" t="s">
        <v>190</v>
      </c>
      <c r="F6" s="13" t="n">
        <v>2006</v>
      </c>
      <c r="G6" s="11" t="s">
        <v>191</v>
      </c>
      <c r="H6" s="11" t="s">
        <v>192</v>
      </c>
    </row>
    <row r="7" customFormat="false" ht="23.85" hidden="false" customHeight="false" outlineLevel="0" collapsed="false">
      <c r="A7" s="11" t="s">
        <v>121</v>
      </c>
      <c r="B7" s="11" t="s">
        <v>193</v>
      </c>
      <c r="C7" s="11" t="s">
        <v>120</v>
      </c>
      <c r="D7" s="18" t="n">
        <v>2.026</v>
      </c>
      <c r="E7" s="11" t="s">
        <v>194</v>
      </c>
      <c r="F7" s="13" t="n">
        <v>2024</v>
      </c>
      <c r="G7" s="11" t="s">
        <v>191</v>
      </c>
      <c r="H7" s="11" t="s">
        <v>195</v>
      </c>
    </row>
    <row r="8" customFormat="false" ht="35.05" hidden="false" customHeight="false" outlineLevel="0" collapsed="false">
      <c r="A8" s="11" t="s">
        <v>127</v>
      </c>
      <c r="B8" s="11" t="s">
        <v>196</v>
      </c>
      <c r="C8" s="11" t="s">
        <v>126</v>
      </c>
      <c r="D8" s="18" t="n">
        <v>1924</v>
      </c>
      <c r="E8" s="11" t="s">
        <v>197</v>
      </c>
      <c r="F8" s="13" t="n">
        <v>2013</v>
      </c>
      <c r="G8" s="11" t="s">
        <v>198</v>
      </c>
      <c r="H8" s="11" t="s">
        <v>199</v>
      </c>
    </row>
    <row r="9" customFormat="false" ht="23.85" hidden="false" customHeight="false" outlineLevel="0" collapsed="false">
      <c r="A9" s="11" t="s">
        <v>133</v>
      </c>
      <c r="B9" s="11" t="s">
        <v>200</v>
      </c>
      <c r="C9" s="11" t="s">
        <v>132</v>
      </c>
      <c r="D9" s="18" t="n">
        <v>0.20101</v>
      </c>
      <c r="E9" s="11" t="s">
        <v>201</v>
      </c>
      <c r="F9" s="13" t="n">
        <v>2025</v>
      </c>
      <c r="G9" s="11" t="s">
        <v>191</v>
      </c>
      <c r="H9" s="11" t="s">
        <v>202</v>
      </c>
    </row>
    <row r="10" customFormat="false" ht="23.85" hidden="false" customHeight="false" outlineLevel="0" collapsed="false">
      <c r="A10" s="11" t="s">
        <v>136</v>
      </c>
      <c r="B10" s="11" t="s">
        <v>203</v>
      </c>
      <c r="C10" s="11" t="s">
        <v>132</v>
      </c>
      <c r="D10" s="18" t="n">
        <v>0.3909</v>
      </c>
      <c r="E10" s="11" t="s">
        <v>204</v>
      </c>
      <c r="F10" s="13" t="n">
        <v>2025</v>
      </c>
      <c r="G10" s="11" t="s">
        <v>191</v>
      </c>
      <c r="H10" s="11" t="s">
        <v>205</v>
      </c>
    </row>
    <row r="11" customFormat="false" ht="23.85" hidden="false" customHeight="false" outlineLevel="0" collapsed="false">
      <c r="A11" s="11" t="s">
        <v>143</v>
      </c>
      <c r="B11" s="11" t="s">
        <v>206</v>
      </c>
      <c r="C11" s="11" t="s">
        <v>142</v>
      </c>
      <c r="D11" s="18" t="n">
        <v>0.12576</v>
      </c>
      <c r="E11" s="11" t="s">
        <v>207</v>
      </c>
      <c r="F11" s="13" t="n">
        <v>2026</v>
      </c>
      <c r="G11" s="11" t="s">
        <v>198</v>
      </c>
      <c r="H11" s="11" t="s">
        <v>208</v>
      </c>
    </row>
    <row r="12" customFormat="false" ht="23.85" hidden="false" customHeight="false" outlineLevel="0" collapsed="false">
      <c r="A12" s="11" t="s">
        <v>149</v>
      </c>
      <c r="B12" s="11" t="s">
        <v>209</v>
      </c>
      <c r="C12" s="11" t="s">
        <v>148</v>
      </c>
      <c r="D12" s="18" t="n">
        <v>0.16152</v>
      </c>
      <c r="E12" s="11" t="s">
        <v>210</v>
      </c>
      <c r="F12" s="13" t="n">
        <v>2026</v>
      </c>
      <c r="G12" s="11" t="s">
        <v>198</v>
      </c>
      <c r="H12" s="11" t="s">
        <v>211</v>
      </c>
    </row>
    <row r="13" customFormat="false" ht="15" hidden="false" customHeight="false" outlineLevel="0" collapsed="false">
      <c r="A13" s="11"/>
      <c r="B13" s="11"/>
      <c r="C13" s="11"/>
      <c r="D13" s="18"/>
      <c r="E13" s="11"/>
      <c r="F13" s="13"/>
      <c r="G13" s="11"/>
      <c r="H13" s="11"/>
    </row>
    <row r="14" customFormat="false" ht="15" hidden="false" customHeight="false" outlineLevel="0" collapsed="false">
      <c r="A14" s="11"/>
      <c r="B14" s="11"/>
      <c r="C14" s="11"/>
      <c r="D14" s="18"/>
      <c r="E14" s="11"/>
      <c r="F14" s="13"/>
      <c r="G14" s="11"/>
      <c r="H14" s="11"/>
    </row>
    <row r="15" customFormat="false" ht="15" hidden="false" customHeight="false" outlineLevel="0" collapsed="false">
      <c r="A15" s="11"/>
      <c r="B15" s="11"/>
      <c r="C15" s="11"/>
      <c r="D15" s="18"/>
      <c r="E15" s="11"/>
      <c r="F15" s="13"/>
      <c r="G15" s="11"/>
      <c r="H15" s="11"/>
    </row>
    <row r="16" customFormat="false" ht="15" hidden="false" customHeight="false" outlineLevel="0" collapsed="false">
      <c r="A16" s="11"/>
      <c r="B16" s="11"/>
      <c r="C16" s="11"/>
      <c r="D16" s="18"/>
      <c r="E16" s="11"/>
      <c r="F16" s="13"/>
      <c r="G16" s="11"/>
      <c r="H16" s="11"/>
    </row>
    <row r="17" customFormat="false" ht="15" hidden="false" customHeight="false" outlineLevel="0" collapsed="false">
      <c r="A17" s="11"/>
      <c r="B17" s="11"/>
      <c r="C17" s="11"/>
      <c r="D17" s="18"/>
      <c r="E17" s="11"/>
      <c r="F17" s="13"/>
      <c r="G17" s="11"/>
      <c r="H17" s="11"/>
    </row>
    <row r="18" customFormat="false" ht="15" hidden="false" customHeight="false" outlineLevel="0" collapsed="false">
      <c r="A18" s="11"/>
      <c r="B18" s="11"/>
      <c r="C18" s="11"/>
      <c r="D18" s="18"/>
      <c r="E18" s="11"/>
      <c r="F18" s="13"/>
      <c r="G18" s="11"/>
      <c r="H18" s="11"/>
    </row>
    <row r="19" customFormat="false" ht="15" hidden="false" customHeight="false" outlineLevel="0" collapsed="false">
      <c r="A19" s="11"/>
      <c r="B19" s="11"/>
      <c r="C19" s="11"/>
      <c r="D19" s="18"/>
      <c r="E19" s="11"/>
      <c r="F19" s="13"/>
      <c r="G19" s="11"/>
      <c r="H19" s="11"/>
    </row>
    <row r="20" customFormat="false" ht="15" hidden="false" customHeight="false" outlineLevel="0" collapsed="false">
      <c r="A20" s="11"/>
      <c r="B20" s="11"/>
      <c r="C20" s="11"/>
      <c r="D20" s="18"/>
      <c r="E20" s="11"/>
      <c r="F20" s="13"/>
      <c r="G20" s="11"/>
      <c r="H20" s="11"/>
    </row>
    <row r="21" customFormat="false" ht="15" hidden="false" customHeight="false" outlineLevel="0" collapsed="false">
      <c r="A21" s="11"/>
      <c r="B21" s="11"/>
      <c r="C21" s="11"/>
      <c r="D21" s="18"/>
      <c r="E21" s="11"/>
      <c r="F21" s="13"/>
      <c r="G21" s="11"/>
      <c r="H21" s="11"/>
    </row>
    <row r="22" customFormat="false" ht="15" hidden="false" customHeight="false" outlineLevel="0" collapsed="false">
      <c r="A22" s="11"/>
      <c r="B22" s="11"/>
      <c r="C22" s="11"/>
      <c r="D22" s="18"/>
      <c r="E22" s="11"/>
      <c r="F22" s="13"/>
      <c r="G22" s="11"/>
      <c r="H22" s="11"/>
    </row>
    <row r="23" customFormat="false" ht="15" hidden="false" customHeight="false" outlineLevel="0" collapsed="false">
      <c r="A23" s="11"/>
      <c r="B23" s="11"/>
      <c r="C23" s="11"/>
      <c r="D23" s="18"/>
      <c r="E23" s="11"/>
      <c r="F23" s="13"/>
      <c r="G23" s="11"/>
      <c r="H23" s="11"/>
    </row>
    <row r="24" customFormat="false" ht="15" hidden="false" customHeight="false" outlineLevel="0" collapsed="false">
      <c r="A24" s="11"/>
      <c r="B24" s="11"/>
      <c r="C24" s="11"/>
      <c r="D24" s="18"/>
      <c r="E24" s="11"/>
      <c r="F24" s="13"/>
      <c r="G24" s="11"/>
      <c r="H24" s="11"/>
    </row>
    <row r="25" customFormat="false" ht="15" hidden="false" customHeight="false" outlineLevel="0" collapsed="false">
      <c r="A25" s="11"/>
      <c r="B25" s="11"/>
      <c r="C25" s="11"/>
      <c r="D25" s="18"/>
      <c r="E25" s="11"/>
      <c r="F25" s="13"/>
      <c r="G25" s="11"/>
      <c r="H25" s="11"/>
    </row>
    <row r="26" customFormat="false" ht="15" hidden="false" customHeight="false" outlineLevel="0" collapsed="false">
      <c r="A26" s="11"/>
      <c r="B26" s="11"/>
      <c r="C26" s="11"/>
      <c r="D26" s="18"/>
      <c r="E26" s="11"/>
      <c r="F26" s="13"/>
      <c r="G26" s="11"/>
      <c r="H26" s="11"/>
    </row>
    <row r="27" customFormat="false" ht="15" hidden="false" customHeight="false" outlineLevel="0" collapsed="false">
      <c r="A27" s="11"/>
      <c r="B27" s="11"/>
      <c r="C27" s="11"/>
      <c r="D27" s="18"/>
      <c r="E27" s="11"/>
      <c r="F27" s="13"/>
      <c r="G27" s="11"/>
      <c r="H27" s="11"/>
    </row>
    <row r="28" customFormat="false" ht="15" hidden="false" customHeight="false" outlineLevel="0" collapsed="false">
      <c r="A28" s="11"/>
      <c r="B28" s="11"/>
      <c r="C28" s="11"/>
      <c r="D28" s="18"/>
      <c r="E28" s="11"/>
      <c r="F28" s="13"/>
      <c r="G28" s="11"/>
      <c r="H28" s="11"/>
    </row>
    <row r="29" customFormat="false" ht="15" hidden="false" customHeight="false" outlineLevel="0" collapsed="false">
      <c r="A29" s="11"/>
      <c r="B29" s="11"/>
      <c r="C29" s="11"/>
      <c r="D29" s="18"/>
      <c r="E29" s="11"/>
      <c r="F29" s="13"/>
      <c r="G29" s="11"/>
      <c r="H29" s="11"/>
    </row>
    <row r="30" customFormat="false" ht="15" hidden="false" customHeight="false" outlineLevel="0" collapsed="false">
      <c r="A30" s="11"/>
      <c r="B30" s="11"/>
      <c r="C30" s="11"/>
      <c r="D30" s="18"/>
      <c r="E30" s="11"/>
      <c r="F30" s="13"/>
      <c r="G30" s="11"/>
      <c r="H30" s="11"/>
    </row>
    <row r="31" customFormat="false" ht="15" hidden="false" customHeight="false" outlineLevel="0" collapsed="false">
      <c r="A31" s="11"/>
      <c r="B31" s="11"/>
      <c r="C31" s="11"/>
      <c r="D31" s="18"/>
      <c r="E31" s="11"/>
      <c r="F31" s="13"/>
      <c r="G31" s="11"/>
      <c r="H31" s="11"/>
    </row>
    <row r="32" customFormat="false" ht="15" hidden="false" customHeight="false" outlineLevel="0" collapsed="false">
      <c r="A32" s="11"/>
      <c r="B32" s="11"/>
      <c r="C32" s="11"/>
      <c r="D32" s="18"/>
      <c r="E32" s="11"/>
      <c r="F32" s="13"/>
      <c r="G32" s="11"/>
      <c r="H32" s="11"/>
    </row>
    <row r="33" customFormat="false" ht="15" hidden="false" customHeight="false" outlineLevel="0" collapsed="false">
      <c r="A33" s="11"/>
      <c r="B33" s="11"/>
      <c r="C33" s="11"/>
      <c r="D33" s="18"/>
      <c r="E33" s="11"/>
      <c r="F33" s="13"/>
      <c r="G33" s="11"/>
      <c r="H33" s="11"/>
    </row>
    <row r="34" customFormat="false" ht="15" hidden="false" customHeight="false" outlineLevel="0" collapsed="false">
      <c r="A34" s="11"/>
      <c r="B34" s="11"/>
      <c r="C34" s="11"/>
      <c r="D34" s="18"/>
      <c r="E34" s="11"/>
      <c r="F34" s="13"/>
      <c r="G34" s="11"/>
      <c r="H34" s="11"/>
    </row>
    <row r="35" customFormat="false" ht="15" hidden="false" customHeight="false" outlineLevel="0" collapsed="false">
      <c r="A35" s="11"/>
      <c r="B35" s="11"/>
      <c r="C35" s="11"/>
      <c r="D35" s="18"/>
      <c r="E35" s="11"/>
      <c r="F35" s="13"/>
      <c r="G35" s="11"/>
      <c r="H35" s="11"/>
    </row>
    <row r="36" customFormat="false" ht="15" hidden="false" customHeight="false" outlineLevel="0" collapsed="false">
      <c r="A36" s="11"/>
      <c r="B36" s="11"/>
      <c r="C36" s="11"/>
      <c r="D36" s="18"/>
      <c r="E36" s="11"/>
      <c r="F36" s="13"/>
      <c r="G36" s="11"/>
      <c r="H36" s="11"/>
    </row>
    <row r="37" customFormat="false" ht="15" hidden="false" customHeight="false" outlineLevel="0" collapsed="false">
      <c r="A37" s="11"/>
      <c r="B37" s="11"/>
      <c r="C37" s="11"/>
      <c r="D37" s="18"/>
      <c r="E37" s="11"/>
      <c r="F37" s="13"/>
      <c r="G37" s="11"/>
      <c r="H37" s="11"/>
    </row>
    <row r="38" customFormat="false" ht="15" hidden="false" customHeight="false" outlineLevel="0" collapsed="false">
      <c r="A38" s="11"/>
      <c r="B38" s="11"/>
      <c r="C38" s="11"/>
      <c r="D38" s="18"/>
      <c r="E38" s="11"/>
      <c r="F38" s="13"/>
      <c r="G38" s="11"/>
      <c r="H38" s="11"/>
    </row>
    <row r="39" customFormat="false" ht="15" hidden="false" customHeight="false" outlineLevel="0" collapsed="false">
      <c r="A39" s="11"/>
      <c r="B39" s="11"/>
      <c r="C39" s="11"/>
      <c r="D39" s="18"/>
      <c r="E39" s="11"/>
      <c r="F39" s="13"/>
      <c r="G39" s="11"/>
      <c r="H39" s="11"/>
    </row>
    <row r="40" customFormat="false" ht="15" hidden="false" customHeight="false" outlineLevel="0" collapsed="false">
      <c r="A40" s="11"/>
      <c r="B40" s="11"/>
      <c r="C40" s="11"/>
      <c r="D40" s="18"/>
      <c r="E40" s="11"/>
      <c r="F40" s="13"/>
      <c r="G40" s="11"/>
      <c r="H40" s="11"/>
    </row>
    <row r="41" customFormat="false" ht="15" hidden="false" customHeight="false" outlineLevel="0" collapsed="false">
      <c r="A41" s="11"/>
      <c r="B41" s="11"/>
      <c r="C41" s="11"/>
      <c r="D41" s="18"/>
      <c r="E41" s="11"/>
      <c r="F41" s="13"/>
      <c r="G41" s="11"/>
      <c r="H41" s="11"/>
    </row>
    <row r="42" customFormat="false" ht="15" hidden="false" customHeight="false" outlineLevel="0" collapsed="false">
      <c r="A42" s="11"/>
      <c r="B42" s="11"/>
      <c r="C42" s="11"/>
      <c r="D42" s="18"/>
      <c r="E42" s="11"/>
      <c r="F42" s="13"/>
      <c r="G42" s="11"/>
      <c r="H42" s="11"/>
    </row>
    <row r="43" customFormat="false" ht="15" hidden="false" customHeight="false" outlineLevel="0" collapsed="false">
      <c r="A43" s="11"/>
      <c r="B43" s="11"/>
      <c r="C43" s="11"/>
      <c r="D43" s="18"/>
      <c r="E43" s="11"/>
      <c r="F43" s="13"/>
      <c r="G43" s="11"/>
      <c r="H43" s="11"/>
    </row>
    <row r="44" customFormat="false" ht="15" hidden="false" customHeight="false" outlineLevel="0" collapsed="false">
      <c r="A44" s="11"/>
      <c r="B44" s="11"/>
      <c r="C44" s="11"/>
      <c r="D44" s="18"/>
      <c r="E44" s="11"/>
      <c r="F44" s="13"/>
      <c r="G44" s="11"/>
      <c r="H44" s="11"/>
    </row>
    <row r="45" customFormat="false" ht="15" hidden="false" customHeight="false" outlineLevel="0" collapsed="false">
      <c r="A45" s="11"/>
      <c r="B45" s="11"/>
      <c r="C45" s="11"/>
      <c r="D45" s="18"/>
      <c r="E45" s="11"/>
      <c r="F45" s="13"/>
      <c r="G45" s="11"/>
      <c r="H45" s="11"/>
    </row>
    <row r="46" customFormat="false" ht="15" hidden="false" customHeight="false" outlineLevel="0" collapsed="false">
      <c r="A46" s="11"/>
      <c r="B46" s="11"/>
      <c r="C46" s="11"/>
      <c r="D46" s="18"/>
      <c r="E46" s="11"/>
      <c r="F46" s="13"/>
      <c r="G46" s="11"/>
      <c r="H46" s="11"/>
    </row>
    <row r="47" customFormat="false" ht="15" hidden="false" customHeight="false" outlineLevel="0" collapsed="false">
      <c r="A47" s="11"/>
      <c r="B47" s="11"/>
      <c r="C47" s="11"/>
      <c r="D47" s="18"/>
      <c r="E47" s="11"/>
      <c r="F47" s="13"/>
      <c r="G47" s="11"/>
      <c r="H47" s="11"/>
    </row>
    <row r="48" customFormat="false" ht="15" hidden="false" customHeight="false" outlineLevel="0" collapsed="false">
      <c r="A48" s="11"/>
      <c r="B48" s="11"/>
      <c r="C48" s="11"/>
      <c r="D48" s="18"/>
      <c r="E48" s="11"/>
      <c r="F48" s="13"/>
      <c r="G48" s="11"/>
      <c r="H48" s="11"/>
    </row>
    <row r="49" customFormat="false" ht="15" hidden="false" customHeight="false" outlineLevel="0" collapsed="false">
      <c r="A49" s="11"/>
      <c r="B49" s="11"/>
      <c r="C49" s="11"/>
      <c r="D49" s="18"/>
      <c r="E49" s="11"/>
      <c r="F49" s="13"/>
      <c r="G49" s="11"/>
      <c r="H49" s="11"/>
    </row>
    <row r="50" customFormat="false" ht="15" hidden="false" customHeight="false" outlineLevel="0" collapsed="false">
      <c r="A50" s="11"/>
      <c r="B50" s="11"/>
      <c r="C50" s="11"/>
      <c r="D50" s="18"/>
      <c r="E50" s="11"/>
      <c r="F50" s="13"/>
      <c r="G50" s="11"/>
      <c r="H50" s="11"/>
    </row>
    <row r="51" customFormat="false" ht="15" hidden="false" customHeight="false" outlineLevel="0" collapsed="false">
      <c r="A51" s="11"/>
      <c r="B51" s="11"/>
      <c r="C51" s="11"/>
      <c r="D51" s="18"/>
      <c r="E51" s="11"/>
      <c r="F51" s="13"/>
      <c r="G51" s="11"/>
      <c r="H51" s="11"/>
    </row>
    <row r="52" customFormat="false" ht="15" hidden="false" customHeight="false" outlineLevel="0" collapsed="false">
      <c r="A52" s="11"/>
      <c r="B52" s="11"/>
      <c r="C52" s="11"/>
      <c r="D52" s="18"/>
      <c r="E52" s="11"/>
      <c r="F52" s="13"/>
      <c r="G52" s="11"/>
      <c r="H52" s="11"/>
    </row>
    <row r="53" customFormat="false" ht="15" hidden="false" customHeight="false" outlineLevel="0" collapsed="false">
      <c r="A53" s="11"/>
      <c r="B53" s="11"/>
      <c r="C53" s="11"/>
      <c r="D53" s="18"/>
      <c r="E53" s="11"/>
      <c r="F53" s="13"/>
      <c r="G53" s="11"/>
      <c r="H53" s="11"/>
    </row>
    <row r="54" customFormat="false" ht="15" hidden="false" customHeight="false" outlineLevel="0" collapsed="false">
      <c r="A54" s="11"/>
      <c r="B54" s="11"/>
      <c r="C54" s="11"/>
      <c r="D54" s="18"/>
      <c r="E54" s="11"/>
      <c r="F54" s="13"/>
      <c r="G54" s="11"/>
      <c r="H54" s="11"/>
    </row>
    <row r="55" customFormat="false" ht="15" hidden="false" customHeight="false" outlineLevel="0" collapsed="false">
      <c r="A55" s="11"/>
      <c r="B55" s="11"/>
      <c r="C55" s="11"/>
      <c r="D55" s="18"/>
      <c r="E55" s="11"/>
      <c r="F55" s="13"/>
      <c r="G55" s="11"/>
      <c r="H55" s="11"/>
    </row>
  </sheetData>
  <conditionalFormatting sqref="G6:G55">
    <cfRule type="expression" priority="2" aboveAverage="0" equalAverage="0" bottom="0" percent="0" rank="0" text="" dxfId="0">
      <formula>$G6="PLACEHOLDER"</formula>
    </cfRule>
    <cfRule type="expression" priority="3" aboveAverage="0" equalAverage="0" bottom="0" percent="0" rank="0" text="" dxfId="1">
      <formula>$G6="VERIFIED"</formula>
    </cfRule>
    <cfRule type="expression" priority="4" aboveAverage="0" equalAverage="0" bottom="0" percent="0" rank="0" text="" dxfId="2">
      <formula>$G6="SECONDARY"</formula>
    </cfRule>
  </conditionalFormatting>
  <dataValidations count="2">
    <dataValidation allowBlank="true" errorStyle="stop" operator="between" showDropDown="false" showErrorMessage="false" showInputMessage="false" sqref="G6:G55" type="list">
      <formula1>"VERIFIED,SECONDARY,PLACEHOLDER"</formula1>
      <formula2>0</formula2>
    </dataValidation>
    <dataValidation allowBlank="true" errorStyle="stop" operator="between" showDropDown="false" showErrorMessage="false" showInputMessage="false" sqref="C6:C55" type="list">
      <formula1>Lists!$C$1:$C$9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4" min="3" style="0" width="26"/>
  </cols>
  <sheetData>
    <row r="1" customFormat="false" ht="17.35" hidden="false" customHeight="false" outlineLevel="0" collapsed="false">
      <c r="A1" s="1" t="s">
        <v>212</v>
      </c>
    </row>
    <row r="2" customFormat="false" ht="15" hidden="false" customHeight="false" outlineLevel="0" collapsed="false">
      <c r="A2" s="2" t="str">
        <f aca="false">"Company: "&amp;Boundary!B5&amp;"   |   Period: "&amp;TEXT(Boundary!B6,"yyyy-mm-dd")&amp;" to "&amp;TEXT(Boundary!B7,"yyyy-mm-dd")</f>
        <v>Company: Nordovest Precision Parts S.r.l. (fictional)   |   Period: 2025-01-01 to 2025-12-31</v>
      </c>
    </row>
    <row r="4" customFormat="false" ht="15" hidden="false" customHeight="false" outlineLevel="0" collapsed="false">
      <c r="A4" s="19" t="str">
        <f aca="false">IF(Controls!C11&gt;0,"WARNING: "&amp;Controls!C11&amp;" activity rows use PLACEHOLDER factors. Results are illustrative only.",IF(Controls!C12&gt;0,"NOTE: "&amp;Controls!C12&amp;" activity rows use SECONDARY-source factors. Confirm them in the primary file before publishing.","All emission factors in use are VERIFIED against primary sources."))</f>
        <v>NOTE: 3 activity rows use SECONDARY-source factors. Confirm them in the primary file before publishing.</v>
      </c>
    </row>
    <row r="6" customFormat="false" ht="31.5" hidden="false" customHeight="true" outlineLevel="0" collapsed="false">
      <c r="A6" s="3" t="s">
        <v>213</v>
      </c>
      <c r="B6" s="3" t="s">
        <v>214</v>
      </c>
      <c r="C6" s="3" t="s">
        <v>215</v>
      </c>
      <c r="D6" s="3" t="s">
        <v>216</v>
      </c>
    </row>
    <row r="7" customFormat="false" ht="15" hidden="false" customHeight="false" outlineLevel="0" collapsed="false">
      <c r="A7" s="6" t="s">
        <v>217</v>
      </c>
      <c r="B7" s="20" t="n">
        <f aca="false">SUMIFS(Activity_Data!$K$6:$K$45,Activity_Data!$B$6:$B$45,1)</f>
        <v>108.032</v>
      </c>
      <c r="C7" s="21" t="n">
        <f aca="false">IF($B$11=0,0,B7/$B$11)</f>
        <v>0.413119069625508</v>
      </c>
      <c r="D7" s="21" t="n">
        <f aca="false">IF($B$12=0,0,B7/$B$12)</f>
        <v>0.311372868664358</v>
      </c>
    </row>
    <row r="8" customFormat="false" ht="15" hidden="false" customHeight="false" outlineLevel="0" collapsed="false">
      <c r="A8" s="6" t="s">
        <v>218</v>
      </c>
      <c r="B8" s="20" t="n">
        <f aca="false">SUMIFS(Activity_Data!$K$6:$K$45,Activity_Data!$B$6:$B$45,2,Activity_Data!$I$6:$I$45,"Location")</f>
        <v>90.4545</v>
      </c>
      <c r="C8" s="21" t="n">
        <f aca="false">IF($B$11=0,0,B8/$B$11)</f>
        <v>0.345901944640852</v>
      </c>
      <c r="D8" s="14"/>
    </row>
    <row r="9" customFormat="false" ht="15" hidden="false" customHeight="false" outlineLevel="0" collapsed="false">
      <c r="A9" s="6" t="s">
        <v>219</v>
      </c>
      <c r="B9" s="20" t="n">
        <f aca="false">SUMIFS(Activity_Data!$K$6:$K$45,Activity_Data!$B$6:$B$45,2,Activity_Data!$I$6:$I$45,"Market")</f>
        <v>175.905</v>
      </c>
      <c r="C9" s="14"/>
      <c r="D9" s="21" t="n">
        <f aca="false">IF($B$12=0,0,B9/$B$12)</f>
        <v>0.506998338107264</v>
      </c>
    </row>
    <row r="10" customFormat="false" ht="15" hidden="false" customHeight="false" outlineLevel="0" collapsed="false">
      <c r="A10" s="6" t="s">
        <v>220</v>
      </c>
      <c r="B10" s="20" t="n">
        <f aca="false">SUMIFS(Activity_Data!$K$6:$K$45,Activity_Data!$B$6:$B$45,3)</f>
        <v>63.0168</v>
      </c>
      <c r="C10" s="21" t="n">
        <f aca="false">IF($B$11=0,0,B10/$B$11)</f>
        <v>0.240978985733641</v>
      </c>
      <c r="D10" s="21" t="n">
        <f aca="false">IF($B$12=0,0,B10/$B$12)</f>
        <v>0.181628793228378</v>
      </c>
    </row>
    <row r="11" customFormat="false" ht="15" hidden="false" customHeight="false" outlineLevel="0" collapsed="false">
      <c r="A11" s="4" t="s">
        <v>221</v>
      </c>
      <c r="B11" s="5" t="n">
        <f aca="false">B7+B8+B10</f>
        <v>261.5033</v>
      </c>
      <c r="C11" s="14"/>
      <c r="D11" s="14"/>
    </row>
    <row r="12" customFormat="false" ht="15" hidden="false" customHeight="false" outlineLevel="0" collapsed="false">
      <c r="A12" s="4" t="s">
        <v>222</v>
      </c>
      <c r="B12" s="5" t="n">
        <f aca="false">B7+B9+B10</f>
        <v>346.9538</v>
      </c>
      <c r="C12" s="14"/>
      <c r="D12" s="14"/>
    </row>
    <row r="14" customFormat="false" ht="15" hidden="false" customHeight="false" outlineLevel="0" collapsed="false">
      <c r="A14" s="6" t="s">
        <v>223</v>
      </c>
      <c r="B14" s="22" t="n">
        <f aca="false">IFERROR(SUMPRODUCT(Activity_Data!$K$6:$K$45,Activity_Data!$M$6:$M$45)/SUM(Activity_Data!$K$6:$K$45),"n/a")</f>
        <v>1.43672879549839</v>
      </c>
    </row>
    <row r="15" customFormat="false" ht="15" hidden="false" customHeight="false" outlineLevel="0" collapsed="false">
      <c r="A15" s="6" t="s">
        <v>224</v>
      </c>
      <c r="B15" s="23" t="n">
        <f aca="false">SUM(Controls!C6:C10)</f>
        <v>0</v>
      </c>
    </row>
    <row r="16" customFormat="false" ht="15" hidden="false" customHeight="false" outlineLevel="0" collapsed="false">
      <c r="A16" s="6" t="s">
        <v>225</v>
      </c>
      <c r="B16" s="23" t="n">
        <f aca="false">COUNTIFS(Scope3_Screening!$B$6:$B$20,"Yes",Scope3_Screening!$F$6:$F$20,"No")</f>
        <v>4</v>
      </c>
    </row>
    <row r="17" customFormat="false" ht="23.85" hidden="false" customHeight="false" outlineLevel="0" collapsed="false">
      <c r="A17" s="6" t="s">
        <v>226</v>
      </c>
      <c r="B17" s="7" t="str">
        <f aca="false">Controls!D19</f>
        <v>PASS WITH NOTES</v>
      </c>
    </row>
    <row r="20" customFormat="false" ht="31.5" hidden="false" customHeight="true" outlineLevel="0" collapsed="false">
      <c r="A20" s="3" t="s">
        <v>98</v>
      </c>
      <c r="B20" s="3" t="s">
        <v>227</v>
      </c>
      <c r="C20" s="3" t="s">
        <v>228</v>
      </c>
      <c r="D20" s="3" t="s">
        <v>215</v>
      </c>
    </row>
    <row r="21" customFormat="false" ht="15" hidden="false" customHeight="false" outlineLevel="0" collapsed="false">
      <c r="A21" s="24" t="str">
        <f aca="false">Lists!A1</f>
        <v>Stationary combustion</v>
      </c>
      <c r="B21" s="25" t="n">
        <v>1</v>
      </c>
      <c r="C21" s="20" t="n">
        <f aca="false">SUMIFS(Activity_Data!$K$6:$K$45,Activity_Data!$C$6:$C$45,A21,Activity_Data!$I$6:$I$45,"&lt;&gt;Market")</f>
        <v>60.78</v>
      </c>
      <c r="D21" s="21" t="n">
        <f aca="false">IF($B$11=0,0,C21/$B$11)</f>
        <v>0.232425365186596</v>
      </c>
    </row>
    <row r="22" customFormat="false" ht="15" hidden="false" customHeight="false" outlineLevel="0" collapsed="false">
      <c r="A22" s="24" t="str">
        <f aca="false">Lists!A2</f>
        <v>Mobile combustion</v>
      </c>
      <c r="B22" s="25" t="n">
        <v>1</v>
      </c>
      <c r="C22" s="20" t="n">
        <f aca="false">SUMIFS(Activity_Data!$K$6:$K$45,Activity_Data!$C$6:$C$45,A22,Activity_Data!$I$6:$I$45,"&lt;&gt;Market")</f>
        <v>31.86</v>
      </c>
      <c r="D22" s="21" t="n">
        <f aca="false">IF($B$11=0,0,C22/$B$11)</f>
        <v>0.12183402656869</v>
      </c>
    </row>
    <row r="23" customFormat="false" ht="15" hidden="false" customHeight="false" outlineLevel="0" collapsed="false">
      <c r="A23" s="24" t="str">
        <f aca="false">Lists!A3</f>
        <v>Fugitive emissions (refrigerants)</v>
      </c>
      <c r="B23" s="25" t="n">
        <v>1</v>
      </c>
      <c r="C23" s="20" t="n">
        <f aca="false">SUMIFS(Activity_Data!$K$6:$K$45,Activity_Data!$C$6:$C$45,A23,Activity_Data!$I$6:$I$45,"&lt;&gt;Market")</f>
        <v>15.392</v>
      </c>
      <c r="D23" s="21" t="n">
        <f aca="false">IF($B$11=0,0,C23/$B$11)</f>
        <v>0.0588596778702219</v>
      </c>
    </row>
    <row r="24" customFormat="false" ht="15" hidden="false" customHeight="false" outlineLevel="0" collapsed="false">
      <c r="A24" s="24" t="str">
        <f aca="false">Lists!A4</f>
        <v>Process emissions</v>
      </c>
      <c r="B24" s="25" t="n">
        <v>1</v>
      </c>
      <c r="C24" s="20" t="n">
        <f aca="false">SUMIFS(Activity_Data!$K$6:$K$45,Activity_Data!$C$6:$C$45,A24,Activity_Data!$I$6:$I$45,"&lt;&gt;Market")</f>
        <v>0</v>
      </c>
      <c r="D24" s="21" t="n">
        <f aca="false">IF($B$11=0,0,C24/$B$11)</f>
        <v>0</v>
      </c>
    </row>
    <row r="25" customFormat="false" ht="15" hidden="false" customHeight="false" outlineLevel="0" collapsed="false">
      <c r="A25" s="24" t="str">
        <f aca="false">Lists!A5</f>
        <v>Purchased electricity</v>
      </c>
      <c r="B25" s="25" t="n">
        <v>2</v>
      </c>
      <c r="C25" s="20" t="n">
        <f aca="false">SUMIFS(Activity_Data!$K$6:$K$45,Activity_Data!$C$6:$C$45,A25,Activity_Data!$I$6:$I$45,"&lt;&gt;Market")</f>
        <v>90.4545</v>
      </c>
      <c r="D25" s="21" t="n">
        <f aca="false">IF($B$11=0,0,C25/$B$11)</f>
        <v>0.345901944640852</v>
      </c>
    </row>
    <row r="26" customFormat="false" ht="15" hidden="false" customHeight="false" outlineLevel="0" collapsed="false">
      <c r="A26" s="24" t="str">
        <f aca="false">Lists!A6</f>
        <v>Purchased heat, steam and cooling</v>
      </c>
      <c r="B26" s="25" t="n">
        <v>2</v>
      </c>
      <c r="C26" s="20" t="n">
        <f aca="false">SUMIFS(Activity_Data!$K$6:$K$45,Activity_Data!$C$6:$C$45,A26,Activity_Data!$I$6:$I$45,"&lt;&gt;Market")</f>
        <v>0</v>
      </c>
      <c r="D26" s="21" t="n">
        <f aca="false">IF($B$11=0,0,C26/$B$11)</f>
        <v>0</v>
      </c>
    </row>
    <row r="27" customFormat="false" ht="15" hidden="false" customHeight="false" outlineLevel="0" collapsed="false">
      <c r="A27" s="24" t="str">
        <f aca="false">Lists!A7</f>
        <v>1. Purchased goods and services</v>
      </c>
      <c r="B27" s="25" t="n">
        <v>3</v>
      </c>
      <c r="C27" s="20" t="n">
        <f aca="false">SUMIFS(Activity_Data!$K$6:$K$45,Activity_Data!$C$6:$C$45,A27,Activity_Data!$I$6:$I$45,"&lt;&gt;Market")</f>
        <v>0</v>
      </c>
      <c r="D27" s="21" t="n">
        <f aca="false">IF($B$11=0,0,C27/$B$11)</f>
        <v>0</v>
      </c>
    </row>
    <row r="28" customFormat="false" ht="15" hidden="false" customHeight="false" outlineLevel="0" collapsed="false">
      <c r="A28" s="24" t="str">
        <f aca="false">Lists!A8</f>
        <v>2. Capital goods</v>
      </c>
      <c r="B28" s="25" t="n">
        <v>3</v>
      </c>
      <c r="C28" s="20" t="n">
        <f aca="false">SUMIFS(Activity_Data!$K$6:$K$45,Activity_Data!$C$6:$C$45,A28,Activity_Data!$I$6:$I$45,"&lt;&gt;Market")</f>
        <v>0</v>
      </c>
      <c r="D28" s="21" t="n">
        <f aca="false">IF($B$11=0,0,C28/$B$11)</f>
        <v>0</v>
      </c>
    </row>
    <row r="29" customFormat="false" ht="15" hidden="false" customHeight="false" outlineLevel="0" collapsed="false">
      <c r="A29" s="24" t="str">
        <f aca="false">Lists!A9</f>
        <v>3. Fuel- and energy-related activities</v>
      </c>
      <c r="B29" s="25" t="n">
        <v>3</v>
      </c>
      <c r="C29" s="20" t="n">
        <f aca="false">SUMIFS(Activity_Data!$K$6:$K$45,Activity_Data!$C$6:$C$45,A29,Activity_Data!$I$6:$I$45,"&lt;&gt;Market")</f>
        <v>0</v>
      </c>
      <c r="D29" s="21" t="n">
        <f aca="false">IF($B$11=0,0,C29/$B$11)</f>
        <v>0</v>
      </c>
    </row>
    <row r="30" customFormat="false" ht="15" hidden="false" customHeight="false" outlineLevel="0" collapsed="false">
      <c r="A30" s="24" t="str">
        <f aca="false">Lists!A10</f>
        <v>4. Upstream transportation and distribution</v>
      </c>
      <c r="B30" s="25" t="n">
        <v>3</v>
      </c>
      <c r="C30" s="20" t="n">
        <f aca="false">SUMIFS(Activity_Data!$K$6:$K$45,Activity_Data!$C$6:$C$45,A30,Activity_Data!$I$6:$I$45,"&lt;&gt;Market")</f>
        <v>0</v>
      </c>
      <c r="D30" s="21" t="n">
        <f aca="false">IF($B$11=0,0,C30/$B$11)</f>
        <v>0</v>
      </c>
    </row>
    <row r="31" customFormat="false" ht="15" hidden="false" customHeight="false" outlineLevel="0" collapsed="false">
      <c r="A31" s="24" t="str">
        <f aca="false">Lists!A11</f>
        <v>5. Waste generated in operations</v>
      </c>
      <c r="B31" s="25" t="n">
        <v>3</v>
      </c>
      <c r="C31" s="20" t="n">
        <f aca="false">SUMIFS(Activity_Data!$K$6:$K$45,Activity_Data!$C$6:$C$45,A31,Activity_Data!$I$6:$I$45,"&lt;&gt;Market")</f>
        <v>0</v>
      </c>
      <c r="D31" s="21" t="n">
        <f aca="false">IF($B$11=0,0,C31/$B$11)</f>
        <v>0</v>
      </c>
    </row>
    <row r="32" customFormat="false" ht="15" hidden="false" customHeight="false" outlineLevel="0" collapsed="false">
      <c r="A32" s="24" t="str">
        <f aca="false">Lists!A12</f>
        <v>6. Business travel</v>
      </c>
      <c r="B32" s="25" t="n">
        <v>3</v>
      </c>
      <c r="C32" s="20" t="n">
        <f aca="false">SUMIFS(Activity_Data!$K$6:$K$45,Activity_Data!$C$6:$C$45,A32,Activity_Data!$I$6:$I$45,"&lt;&gt;Market")</f>
        <v>22.6368</v>
      </c>
      <c r="D32" s="21" t="n">
        <f aca="false">IF($B$11=0,0,C32/$B$11)</f>
        <v>0.0865641083688046</v>
      </c>
    </row>
    <row r="33" customFormat="false" ht="15" hidden="false" customHeight="false" outlineLevel="0" collapsed="false">
      <c r="A33" s="24" t="str">
        <f aca="false">Lists!A13</f>
        <v>7. Employee commuting</v>
      </c>
      <c r="B33" s="25" t="n">
        <v>3</v>
      </c>
      <c r="C33" s="20" t="n">
        <f aca="false">SUMIFS(Activity_Data!$K$6:$K$45,Activity_Data!$C$6:$C$45,A33,Activity_Data!$I$6:$I$45,"&lt;&gt;Market")</f>
        <v>40.38</v>
      </c>
      <c r="D33" s="21" t="n">
        <f aca="false">IF($B$11=0,0,C33/$B$11)</f>
        <v>0.154414877364836</v>
      </c>
    </row>
    <row r="34" customFormat="false" ht="15" hidden="false" customHeight="false" outlineLevel="0" collapsed="false">
      <c r="A34" s="24" t="str">
        <f aca="false">Lists!A14</f>
        <v>8. Upstream leased assets</v>
      </c>
      <c r="B34" s="25" t="n">
        <v>3</v>
      </c>
      <c r="C34" s="20" t="n">
        <f aca="false">SUMIFS(Activity_Data!$K$6:$K$45,Activity_Data!$C$6:$C$45,A34,Activity_Data!$I$6:$I$45,"&lt;&gt;Market")</f>
        <v>0</v>
      </c>
      <c r="D34" s="21" t="n">
        <f aca="false">IF($B$11=0,0,C34/$B$11)</f>
        <v>0</v>
      </c>
    </row>
    <row r="35" customFormat="false" ht="15" hidden="false" customHeight="false" outlineLevel="0" collapsed="false">
      <c r="A35" s="24" t="str">
        <f aca="false">Lists!A15</f>
        <v>9. Downstream transportation and distribution</v>
      </c>
      <c r="B35" s="25" t="n">
        <v>3</v>
      </c>
      <c r="C35" s="20" t="n">
        <f aca="false">SUMIFS(Activity_Data!$K$6:$K$45,Activity_Data!$C$6:$C$45,A35,Activity_Data!$I$6:$I$45,"&lt;&gt;Market")</f>
        <v>0</v>
      </c>
      <c r="D35" s="21" t="n">
        <f aca="false">IF($B$11=0,0,C35/$B$11)</f>
        <v>0</v>
      </c>
    </row>
    <row r="36" customFormat="false" ht="15" hidden="false" customHeight="false" outlineLevel="0" collapsed="false">
      <c r="A36" s="24" t="str">
        <f aca="false">Lists!A16</f>
        <v>10. Processing of sold products</v>
      </c>
      <c r="B36" s="25" t="n">
        <v>3</v>
      </c>
      <c r="C36" s="20" t="n">
        <f aca="false">SUMIFS(Activity_Data!$K$6:$K$45,Activity_Data!$C$6:$C$45,A36,Activity_Data!$I$6:$I$45,"&lt;&gt;Market")</f>
        <v>0</v>
      </c>
      <c r="D36" s="21" t="n">
        <f aca="false">IF($B$11=0,0,C36/$B$11)</f>
        <v>0</v>
      </c>
    </row>
    <row r="37" customFormat="false" ht="15" hidden="false" customHeight="false" outlineLevel="0" collapsed="false">
      <c r="A37" s="24" t="str">
        <f aca="false">Lists!A17</f>
        <v>11. Use of sold products</v>
      </c>
      <c r="B37" s="25" t="n">
        <v>3</v>
      </c>
      <c r="C37" s="20" t="n">
        <f aca="false">SUMIFS(Activity_Data!$K$6:$K$45,Activity_Data!$C$6:$C$45,A37,Activity_Data!$I$6:$I$45,"&lt;&gt;Market")</f>
        <v>0</v>
      </c>
      <c r="D37" s="21" t="n">
        <f aca="false">IF($B$11=0,0,C37/$B$11)</f>
        <v>0</v>
      </c>
    </row>
    <row r="38" customFormat="false" ht="15" hidden="false" customHeight="false" outlineLevel="0" collapsed="false">
      <c r="A38" s="24" t="str">
        <f aca="false">Lists!A18</f>
        <v>12. End-of-life treatment of sold products</v>
      </c>
      <c r="B38" s="25" t="n">
        <v>3</v>
      </c>
      <c r="C38" s="20" t="n">
        <f aca="false">SUMIFS(Activity_Data!$K$6:$K$45,Activity_Data!$C$6:$C$45,A38,Activity_Data!$I$6:$I$45,"&lt;&gt;Market")</f>
        <v>0</v>
      </c>
      <c r="D38" s="21" t="n">
        <f aca="false">IF($B$11=0,0,C38/$B$11)</f>
        <v>0</v>
      </c>
    </row>
    <row r="39" customFormat="false" ht="15" hidden="false" customHeight="false" outlineLevel="0" collapsed="false">
      <c r="A39" s="24" t="str">
        <f aca="false">Lists!A19</f>
        <v>13. Downstream leased assets</v>
      </c>
      <c r="B39" s="25" t="n">
        <v>3</v>
      </c>
      <c r="C39" s="20" t="n">
        <f aca="false">SUMIFS(Activity_Data!$K$6:$K$45,Activity_Data!$C$6:$C$45,A39,Activity_Data!$I$6:$I$45,"&lt;&gt;Market")</f>
        <v>0</v>
      </c>
      <c r="D39" s="21" t="n">
        <f aca="false">IF($B$11=0,0,C39/$B$11)</f>
        <v>0</v>
      </c>
    </row>
    <row r="40" customFormat="false" ht="15" hidden="false" customHeight="false" outlineLevel="0" collapsed="false">
      <c r="A40" s="24" t="str">
        <f aca="false">Lists!A20</f>
        <v>14. Franchises</v>
      </c>
      <c r="B40" s="25" t="n">
        <v>3</v>
      </c>
      <c r="C40" s="20" t="n">
        <f aca="false">SUMIFS(Activity_Data!$K$6:$K$45,Activity_Data!$C$6:$C$45,A40,Activity_Data!$I$6:$I$45,"&lt;&gt;Market")</f>
        <v>0</v>
      </c>
      <c r="D40" s="21" t="n">
        <f aca="false">IF($B$11=0,0,C40/$B$11)</f>
        <v>0</v>
      </c>
    </row>
    <row r="41" customFormat="false" ht="15" hidden="false" customHeight="false" outlineLevel="0" collapsed="false">
      <c r="A41" s="24" t="str">
        <f aca="false">Lists!A21</f>
        <v>15. Investments</v>
      </c>
      <c r="B41" s="25" t="n">
        <v>3</v>
      </c>
      <c r="C41" s="20" t="n">
        <f aca="false">SUMIFS(Activity_Data!$K$6:$K$45,Activity_Data!$C$6:$C$45,A41,Activity_Data!$I$6:$I$45,"&lt;&gt;Market")</f>
        <v>0</v>
      </c>
      <c r="D41" s="21" t="n">
        <f aca="false">IF($B$11=0,0,C41/$B$11)</f>
        <v>0</v>
      </c>
    </row>
    <row r="42" customFormat="false" ht="15" hidden="false" customHeight="false" outlineLevel="0" collapsed="false">
      <c r="A42" s="4" t="s">
        <v>229</v>
      </c>
      <c r="B42" s="14"/>
      <c r="C42" s="5" t="n">
        <f aca="false">SUM(C21:C41)</f>
        <v>261.5033</v>
      </c>
      <c r="D42" s="8" t="n">
        <f aca="false">SUM(D21:D41)</f>
        <v>1</v>
      </c>
    </row>
  </sheetData>
  <conditionalFormatting sqref="A4">
    <cfRule type="expression" priority="2" aboveAverage="0" equalAverage="0" bottom="0" percent="0" rank="0" text="" dxfId="3">
      <formula>LEFT($A$4,7)="WARNING"</formula>
    </cfRule>
  </conditionalFormatting>
  <conditionalFormatting sqref="B17">
    <cfRule type="expression" priority="3" aboveAverage="0" equalAverage="0" bottom="0" percent="0" rank="0" text="" dxfId="0">
      <formula>$B$17="REVIEW"</formula>
    </cfRule>
    <cfRule type="expression" priority="4" aboveAverage="0" equalAverage="0" bottom="0" percent="0" rank="0" text="" dxfId="2">
      <formula>$B$17="PASS WITH NOTES"</formula>
    </cfRule>
    <cfRule type="expression" priority="5" aboveAverage="0" equalAverage="0" bottom="0" percent="0" rank="0" text="" dxfId="1">
      <formula>$B$17="ALL PASS"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1"/>
    <col collapsed="false" customWidth="true" hidden="false" outlineLevel="0" max="3" min="3" style="0" width="62"/>
    <col collapsed="false" customWidth="true" hidden="false" outlineLevel="0" max="5" min="4" style="0" width="15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230</v>
      </c>
    </row>
    <row r="2" customFormat="false" ht="15" hidden="false" customHeight="false" outlineLevel="0" collapsed="false">
      <c r="A2" s="9" t="s">
        <v>231</v>
      </c>
    </row>
    <row r="5" customFormat="false" ht="31.5" hidden="false" customHeight="true" outlineLevel="0" collapsed="false">
      <c r="A5" s="3" t="s">
        <v>98</v>
      </c>
      <c r="B5" s="3" t="s">
        <v>232</v>
      </c>
      <c r="C5" s="3" t="s">
        <v>233</v>
      </c>
      <c r="D5" s="3" t="s">
        <v>234</v>
      </c>
      <c r="E5" s="3" t="s">
        <v>235</v>
      </c>
      <c r="F5" s="3" t="s">
        <v>236</v>
      </c>
      <c r="G5" s="3" t="s">
        <v>214</v>
      </c>
    </row>
    <row r="6" customFormat="false" ht="35.05" hidden="false" customHeight="false" outlineLevel="0" collapsed="false">
      <c r="A6" s="24" t="str">
        <f aca="false">Lists!A7</f>
        <v>1. Purchased goods and services</v>
      </c>
      <c r="B6" s="11" t="s">
        <v>86</v>
      </c>
      <c r="C6" s="11" t="s">
        <v>237</v>
      </c>
      <c r="D6" s="11" t="s">
        <v>238</v>
      </c>
      <c r="E6" s="11" t="s">
        <v>239</v>
      </c>
      <c r="F6" s="14" t="str">
        <f aca="false">IF(G6&gt;0,"Yes","No")</f>
        <v>No</v>
      </c>
      <c r="G6" s="20" t="n">
        <f aca="false">SUMIFS(Activity_Data!$K$6:$K$45,Activity_Data!$B$6:$B$45,3,Activity_Data!$C$6:$C$45,A6)</f>
        <v>0</v>
      </c>
    </row>
    <row r="7" customFormat="false" ht="15" hidden="false" customHeight="false" outlineLevel="0" collapsed="false">
      <c r="A7" s="24" t="str">
        <f aca="false">Lists!A8</f>
        <v>2. Capital goods</v>
      </c>
      <c r="B7" s="11" t="s">
        <v>240</v>
      </c>
      <c r="C7" s="11" t="s">
        <v>241</v>
      </c>
      <c r="D7" s="11" t="s">
        <v>242</v>
      </c>
      <c r="E7" s="11" t="s">
        <v>239</v>
      </c>
      <c r="F7" s="14" t="str">
        <f aca="false">IF(G7&gt;0,"Yes","No")</f>
        <v>No</v>
      </c>
      <c r="G7" s="20" t="n">
        <f aca="false">SUMIFS(Activity_Data!$K$6:$K$45,Activity_Data!$B$6:$B$45,3,Activity_Data!$C$6:$C$45,A7)</f>
        <v>0</v>
      </c>
    </row>
    <row r="8" customFormat="false" ht="23.85" hidden="false" customHeight="false" outlineLevel="0" collapsed="false">
      <c r="A8" s="24" t="str">
        <f aca="false">Lists!A9</f>
        <v>3. Fuel- and energy-related activities</v>
      </c>
      <c r="B8" s="11" t="s">
        <v>86</v>
      </c>
      <c r="C8" s="11" t="s">
        <v>243</v>
      </c>
      <c r="D8" s="11" t="s">
        <v>242</v>
      </c>
      <c r="E8" s="11" t="s">
        <v>239</v>
      </c>
      <c r="F8" s="14" t="str">
        <f aca="false">IF(G8&gt;0,"Yes","No")</f>
        <v>No</v>
      </c>
      <c r="G8" s="20" t="n">
        <f aca="false">SUMIFS(Activity_Data!$K$6:$K$45,Activity_Data!$B$6:$B$45,3,Activity_Data!$C$6:$C$45,A8)</f>
        <v>0</v>
      </c>
    </row>
    <row r="9" customFormat="false" ht="23.85" hidden="false" customHeight="false" outlineLevel="0" collapsed="false">
      <c r="A9" s="24" t="str">
        <f aca="false">Lists!A10</f>
        <v>4. Upstream transportation and distribution</v>
      </c>
      <c r="B9" s="11" t="s">
        <v>86</v>
      </c>
      <c r="C9" s="11" t="s">
        <v>244</v>
      </c>
      <c r="D9" s="11" t="s">
        <v>242</v>
      </c>
      <c r="E9" s="11" t="s">
        <v>239</v>
      </c>
      <c r="F9" s="14" t="str">
        <f aca="false">IF(G9&gt;0,"Yes","No")</f>
        <v>No</v>
      </c>
      <c r="G9" s="20" t="n">
        <f aca="false">SUMIFS(Activity_Data!$K$6:$K$45,Activity_Data!$B$6:$B$45,3,Activity_Data!$C$6:$C$45,A9)</f>
        <v>0</v>
      </c>
    </row>
    <row r="10" customFormat="false" ht="23.85" hidden="false" customHeight="false" outlineLevel="0" collapsed="false">
      <c r="A10" s="24" t="str">
        <f aca="false">Lists!A11</f>
        <v>5. Waste generated in operations</v>
      </c>
      <c r="B10" s="11" t="s">
        <v>86</v>
      </c>
      <c r="C10" s="11" t="s">
        <v>245</v>
      </c>
      <c r="D10" s="11" t="s">
        <v>246</v>
      </c>
      <c r="E10" s="11" t="s">
        <v>239</v>
      </c>
      <c r="F10" s="14" t="str">
        <f aca="false">IF(G10&gt;0,"Yes","No")</f>
        <v>No</v>
      </c>
      <c r="G10" s="20" t="n">
        <f aca="false">SUMIFS(Activity_Data!$K$6:$K$45,Activity_Data!$B$6:$B$45,3,Activity_Data!$C$6:$C$45,A10)</f>
        <v>0</v>
      </c>
    </row>
    <row r="11" customFormat="false" ht="23.85" hidden="false" customHeight="false" outlineLevel="0" collapsed="false">
      <c r="A11" s="24" t="str">
        <f aca="false">Lists!A12</f>
        <v>6. Business travel</v>
      </c>
      <c r="B11" s="11" t="s">
        <v>86</v>
      </c>
      <c r="C11" s="11" t="s">
        <v>247</v>
      </c>
      <c r="D11" s="11" t="s">
        <v>242</v>
      </c>
      <c r="E11" s="11" t="s">
        <v>248</v>
      </c>
      <c r="F11" s="14" t="str">
        <f aca="false">IF(G11&gt;0,"Yes","No")</f>
        <v>Yes</v>
      </c>
      <c r="G11" s="20" t="n">
        <f aca="false">SUMIFS(Activity_Data!$K$6:$K$45,Activity_Data!$B$6:$B$45,3,Activity_Data!$C$6:$C$45,A11)</f>
        <v>22.6368</v>
      </c>
    </row>
    <row r="12" customFormat="false" ht="23.85" hidden="false" customHeight="false" outlineLevel="0" collapsed="false">
      <c r="A12" s="24" t="str">
        <f aca="false">Lists!A13</f>
        <v>7. Employee commuting</v>
      </c>
      <c r="B12" s="11" t="s">
        <v>86</v>
      </c>
      <c r="C12" s="11" t="s">
        <v>249</v>
      </c>
      <c r="D12" s="11" t="s">
        <v>242</v>
      </c>
      <c r="E12" s="11" t="s">
        <v>239</v>
      </c>
      <c r="F12" s="14" t="str">
        <f aca="false">IF(G12&gt;0,"Yes","No")</f>
        <v>Yes</v>
      </c>
      <c r="G12" s="20" t="n">
        <f aca="false">SUMIFS(Activity_Data!$K$6:$K$45,Activity_Data!$B$6:$B$45,3,Activity_Data!$C$6:$C$45,A12)</f>
        <v>40.38</v>
      </c>
    </row>
    <row r="13" customFormat="false" ht="23.85" hidden="false" customHeight="false" outlineLevel="0" collapsed="false">
      <c r="A13" s="24" t="str">
        <f aca="false">Lists!A14</f>
        <v>8. Upstream leased assets</v>
      </c>
      <c r="B13" s="11" t="s">
        <v>250</v>
      </c>
      <c r="C13" s="11" t="s">
        <v>251</v>
      </c>
      <c r="D13" s="11" t="s">
        <v>246</v>
      </c>
      <c r="E13" s="11" t="s">
        <v>252</v>
      </c>
      <c r="F13" s="14" t="str">
        <f aca="false">IF(G13&gt;0,"Yes","No")</f>
        <v>No</v>
      </c>
      <c r="G13" s="20" t="n">
        <f aca="false">SUMIFS(Activity_Data!$K$6:$K$45,Activity_Data!$B$6:$B$45,3,Activity_Data!$C$6:$C$45,A13)</f>
        <v>0</v>
      </c>
    </row>
    <row r="14" customFormat="false" ht="23.85" hidden="false" customHeight="false" outlineLevel="0" collapsed="false">
      <c r="A14" s="24" t="str">
        <f aca="false">Lists!A15</f>
        <v>9. Downstream transportation and distribution</v>
      </c>
      <c r="B14" s="11" t="s">
        <v>240</v>
      </c>
      <c r="C14" s="11" t="s">
        <v>253</v>
      </c>
      <c r="D14" s="11" t="s">
        <v>246</v>
      </c>
      <c r="E14" s="11" t="s">
        <v>239</v>
      </c>
      <c r="F14" s="14" t="str">
        <f aca="false">IF(G14&gt;0,"Yes","No")</f>
        <v>No</v>
      </c>
      <c r="G14" s="20" t="n">
        <f aca="false">SUMIFS(Activity_Data!$K$6:$K$45,Activity_Data!$B$6:$B$45,3,Activity_Data!$C$6:$C$45,A14)</f>
        <v>0</v>
      </c>
    </row>
    <row r="15" customFormat="false" ht="23.85" hidden="false" customHeight="false" outlineLevel="0" collapsed="false">
      <c r="A15" s="24" t="str">
        <f aca="false">Lists!A16</f>
        <v>10. Processing of sold products</v>
      </c>
      <c r="B15" s="11" t="s">
        <v>250</v>
      </c>
      <c r="C15" s="11" t="s">
        <v>254</v>
      </c>
      <c r="D15" s="11" t="s">
        <v>246</v>
      </c>
      <c r="E15" s="11" t="s">
        <v>252</v>
      </c>
      <c r="F15" s="14" t="str">
        <f aca="false">IF(G15&gt;0,"Yes","No")</f>
        <v>No</v>
      </c>
      <c r="G15" s="20" t="n">
        <f aca="false">SUMIFS(Activity_Data!$K$6:$K$45,Activity_Data!$B$6:$B$45,3,Activity_Data!$C$6:$C$45,A15)</f>
        <v>0</v>
      </c>
    </row>
    <row r="16" customFormat="false" ht="23.85" hidden="false" customHeight="false" outlineLevel="0" collapsed="false">
      <c r="A16" s="24" t="str">
        <f aca="false">Lists!A17</f>
        <v>11. Use of sold products</v>
      </c>
      <c r="B16" s="11" t="s">
        <v>250</v>
      </c>
      <c r="C16" s="11" t="s">
        <v>255</v>
      </c>
      <c r="D16" s="11" t="s">
        <v>246</v>
      </c>
      <c r="E16" s="11" t="s">
        <v>252</v>
      </c>
      <c r="F16" s="14" t="str">
        <f aca="false">IF(G16&gt;0,"Yes","No")</f>
        <v>No</v>
      </c>
      <c r="G16" s="20" t="n">
        <f aca="false">SUMIFS(Activity_Data!$K$6:$K$45,Activity_Data!$B$6:$B$45,3,Activity_Data!$C$6:$C$45,A16)</f>
        <v>0</v>
      </c>
    </row>
    <row r="17" customFormat="false" ht="23.85" hidden="false" customHeight="false" outlineLevel="0" collapsed="false">
      <c r="A17" s="24" t="str">
        <f aca="false">Lists!A18</f>
        <v>12. End-of-life treatment of sold products</v>
      </c>
      <c r="B17" s="11" t="s">
        <v>240</v>
      </c>
      <c r="C17" s="11" t="s">
        <v>256</v>
      </c>
      <c r="D17" s="11" t="s">
        <v>246</v>
      </c>
      <c r="E17" s="11" t="s">
        <v>252</v>
      </c>
      <c r="F17" s="14" t="str">
        <f aca="false">IF(G17&gt;0,"Yes","No")</f>
        <v>No</v>
      </c>
      <c r="G17" s="20" t="n">
        <f aca="false">SUMIFS(Activity_Data!$K$6:$K$45,Activity_Data!$B$6:$B$45,3,Activity_Data!$C$6:$C$45,A17)</f>
        <v>0</v>
      </c>
    </row>
    <row r="18" customFormat="false" ht="15" hidden="false" customHeight="false" outlineLevel="0" collapsed="false">
      <c r="A18" s="24" t="str">
        <f aca="false">Lists!A19</f>
        <v>13. Downstream leased assets</v>
      </c>
      <c r="B18" s="11" t="s">
        <v>250</v>
      </c>
      <c r="C18" s="11" t="s">
        <v>257</v>
      </c>
      <c r="D18" s="11" t="s">
        <v>246</v>
      </c>
      <c r="E18" s="11" t="s">
        <v>252</v>
      </c>
      <c r="F18" s="14" t="str">
        <f aca="false">IF(G18&gt;0,"Yes","No")</f>
        <v>No</v>
      </c>
      <c r="G18" s="20" t="n">
        <f aca="false">SUMIFS(Activity_Data!$K$6:$K$45,Activity_Data!$B$6:$B$45,3,Activity_Data!$C$6:$C$45,A18)</f>
        <v>0</v>
      </c>
    </row>
    <row r="19" customFormat="false" ht="15" hidden="false" customHeight="false" outlineLevel="0" collapsed="false">
      <c r="A19" s="24" t="str">
        <f aca="false">Lists!A20</f>
        <v>14. Franchises</v>
      </c>
      <c r="B19" s="11" t="s">
        <v>250</v>
      </c>
      <c r="C19" s="11" t="s">
        <v>258</v>
      </c>
      <c r="D19" s="11" t="s">
        <v>246</v>
      </c>
      <c r="E19" s="11" t="s">
        <v>252</v>
      </c>
      <c r="F19" s="14" t="str">
        <f aca="false">IF(G19&gt;0,"Yes","No")</f>
        <v>No</v>
      </c>
      <c r="G19" s="20" t="n">
        <f aca="false">SUMIFS(Activity_Data!$K$6:$K$45,Activity_Data!$B$6:$B$45,3,Activity_Data!$C$6:$C$45,A19)</f>
        <v>0</v>
      </c>
    </row>
    <row r="20" customFormat="false" ht="15" hidden="false" customHeight="false" outlineLevel="0" collapsed="false">
      <c r="A20" s="24" t="str">
        <f aca="false">Lists!A21</f>
        <v>15. Investments</v>
      </c>
      <c r="B20" s="11" t="s">
        <v>250</v>
      </c>
      <c r="C20" s="11" t="s">
        <v>259</v>
      </c>
      <c r="D20" s="11" t="s">
        <v>246</v>
      </c>
      <c r="E20" s="11" t="s">
        <v>252</v>
      </c>
      <c r="F20" s="14" t="str">
        <f aca="false">IF(G20&gt;0,"Yes","No")</f>
        <v>No</v>
      </c>
      <c r="G20" s="20" t="n">
        <f aca="false">SUMIFS(Activity_Data!$K$6:$K$45,Activity_Data!$B$6:$B$45,3,Activity_Data!$C$6:$C$45,A20)</f>
        <v>0</v>
      </c>
    </row>
    <row r="21" customFormat="false" ht="15" hidden="false" customHeight="false" outlineLevel="0" collapsed="false">
      <c r="A21" s="4" t="s">
        <v>260</v>
      </c>
      <c r="B21" s="14"/>
      <c r="C21" s="14"/>
      <c r="D21" s="14"/>
      <c r="E21" s="14"/>
      <c r="F21" s="14"/>
      <c r="G21" s="5" t="n">
        <f aca="false">SUM(G6:G20)</f>
        <v>63.0168</v>
      </c>
    </row>
  </sheetData>
  <dataValidations count="3">
    <dataValidation allowBlank="true" errorStyle="stop" operator="between" showDropDown="false" showErrorMessage="false" showInputMessage="false" sqref="B6:B20" type="list">
      <formula1>"Yes,No,Partly"</formula1>
      <formula2>0</formula2>
    </dataValidation>
    <dataValidation allowBlank="true" errorStyle="stop" operator="between" showDropDown="false" showErrorMessage="false" showInputMessage="false" sqref="D6:D20" type="list">
      <formula1>"High,Medium,Low"</formula1>
      <formula2>0</formula2>
    </dataValidation>
    <dataValidation allowBlank="true" errorStyle="stop" operator="between" showDropDown="false" showErrorMessage="false" showInputMessage="false" sqref="E6:E20" type="list">
      <formula1>"Good,Partial,None"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5" min="4" style="0" width="20"/>
    <col collapsed="false" customWidth="true" hidden="false" outlineLevel="0" max="6" min="6" style="0" width="18"/>
    <col collapsed="false" customWidth="true" hidden="false" outlineLevel="0" max="8" min="7" style="0" width="16"/>
    <col collapsed="false" customWidth="true" hidden="false" outlineLevel="0" max="9" min="9" style="0" width="70"/>
  </cols>
  <sheetData>
    <row r="1" customFormat="false" ht="17.35" hidden="false" customHeight="false" outlineLevel="0" collapsed="false">
      <c r="A1" s="1" t="s">
        <v>261</v>
      </c>
    </row>
    <row r="2" customFormat="false" ht="15" hidden="false" customHeight="false" outlineLevel="0" collapsed="false">
      <c r="A2" s="9" t="s">
        <v>262</v>
      </c>
    </row>
    <row r="4" customFormat="false" ht="31.5" hidden="false" customHeight="true" outlineLevel="0" collapsed="false">
      <c r="A4" s="3" t="s">
        <v>263</v>
      </c>
      <c r="B4" s="3" t="s">
        <v>227</v>
      </c>
      <c r="C4" s="3" t="s">
        <v>264</v>
      </c>
      <c r="D4" s="3" t="s">
        <v>265</v>
      </c>
      <c r="E4" s="3" t="s">
        <v>266</v>
      </c>
      <c r="F4" s="3" t="s">
        <v>267</v>
      </c>
      <c r="G4" s="3" t="s">
        <v>268</v>
      </c>
      <c r="H4" s="3" t="s">
        <v>269</v>
      </c>
      <c r="I4" s="3" t="s">
        <v>3</v>
      </c>
    </row>
    <row r="5" customFormat="false" ht="23.85" hidden="false" customHeight="false" outlineLevel="0" collapsed="false">
      <c r="A5" s="6" t="s">
        <v>270</v>
      </c>
      <c r="B5" s="6" t="n">
        <v>2</v>
      </c>
      <c r="C5" s="6" t="s">
        <v>271</v>
      </c>
      <c r="D5" s="20" t="n">
        <f aca="false">Results!B9</f>
        <v>175.905</v>
      </c>
      <c r="E5" s="26" t="n">
        <v>1</v>
      </c>
      <c r="F5" s="17" t="n">
        <f aca="false">D5*E5</f>
        <v>175.905</v>
      </c>
      <c r="G5" s="6" t="s">
        <v>250</v>
      </c>
      <c r="H5" s="6" t="s">
        <v>86</v>
      </c>
      <c r="I5" s="6" t="s">
        <v>272</v>
      </c>
    </row>
    <row r="6" customFormat="false" ht="15" hidden="false" customHeight="false" outlineLevel="0" collapsed="false">
      <c r="A6" s="6" t="s">
        <v>273</v>
      </c>
      <c r="B6" s="6" t="n">
        <v>1</v>
      </c>
      <c r="C6" s="6" t="s">
        <v>118</v>
      </c>
      <c r="D6" s="20" t="n">
        <f aca="false">Results!C21</f>
        <v>60.78</v>
      </c>
      <c r="E6" s="26" t="n">
        <v>0.15</v>
      </c>
      <c r="F6" s="17" t="n">
        <f aca="false">D6*E6</f>
        <v>9.117</v>
      </c>
      <c r="G6" s="6" t="s">
        <v>86</v>
      </c>
      <c r="H6" s="6" t="s">
        <v>86</v>
      </c>
      <c r="I6" s="6" t="s">
        <v>274</v>
      </c>
    </row>
    <row r="7" customFormat="false" ht="15" hidden="false" customHeight="false" outlineLevel="0" collapsed="false">
      <c r="A7" s="6" t="s">
        <v>275</v>
      </c>
      <c r="B7" s="6" t="n">
        <v>1</v>
      </c>
      <c r="C7" s="6" t="s">
        <v>111</v>
      </c>
      <c r="D7" s="20" t="n">
        <f aca="false">Results!C22</f>
        <v>31.86</v>
      </c>
      <c r="E7" s="26" t="n">
        <v>0.1</v>
      </c>
      <c r="F7" s="17" t="n">
        <f aca="false">D7*E7</f>
        <v>3.186</v>
      </c>
      <c r="G7" s="6" t="s">
        <v>86</v>
      </c>
      <c r="H7" s="6" t="s">
        <v>86</v>
      </c>
      <c r="I7" s="6" t="s">
        <v>276</v>
      </c>
    </row>
    <row r="8" customFormat="false" ht="15" hidden="false" customHeight="false" outlineLevel="0" collapsed="false">
      <c r="A8" s="6" t="s">
        <v>277</v>
      </c>
      <c r="B8" s="6" t="n">
        <v>1</v>
      </c>
      <c r="C8" s="6" t="s">
        <v>278</v>
      </c>
      <c r="D8" s="20" t="n">
        <f aca="false">Results!C23</f>
        <v>15.392</v>
      </c>
      <c r="E8" s="26" t="n">
        <v>0.5</v>
      </c>
      <c r="F8" s="17" t="n">
        <f aca="false">D8*E8</f>
        <v>7.696</v>
      </c>
      <c r="G8" s="6" t="s">
        <v>86</v>
      </c>
      <c r="H8" s="6" t="s">
        <v>86</v>
      </c>
      <c r="I8" s="6" t="s">
        <v>279</v>
      </c>
    </row>
    <row r="9" customFormat="false" ht="15" hidden="false" customHeight="false" outlineLevel="0" collapsed="false">
      <c r="A9" s="6" t="s">
        <v>280</v>
      </c>
      <c r="B9" s="6" t="n">
        <v>3</v>
      </c>
      <c r="C9" s="6" t="s">
        <v>281</v>
      </c>
      <c r="D9" s="20" t="n">
        <f aca="false">Results!C32</f>
        <v>22.6368</v>
      </c>
      <c r="E9" s="26" t="n">
        <v>0.2</v>
      </c>
      <c r="F9" s="17" t="n">
        <f aca="false">D9*E9</f>
        <v>4.52736</v>
      </c>
      <c r="G9" s="6" t="s">
        <v>86</v>
      </c>
      <c r="H9" s="6" t="s">
        <v>86</v>
      </c>
      <c r="I9" s="6" t="s">
        <v>282</v>
      </c>
    </row>
    <row r="10" customFormat="false" ht="15" hidden="false" customHeight="false" outlineLevel="0" collapsed="false">
      <c r="A10" s="6" t="s">
        <v>283</v>
      </c>
      <c r="B10" s="6" t="n">
        <v>3</v>
      </c>
      <c r="C10" s="6" t="s">
        <v>284</v>
      </c>
      <c r="D10" s="20" t="n">
        <f aca="false">Results!C33</f>
        <v>40.38</v>
      </c>
      <c r="E10" s="26" t="n">
        <v>0.2</v>
      </c>
      <c r="F10" s="17" t="n">
        <f aca="false">D10*E10</f>
        <v>8.076</v>
      </c>
      <c r="G10" s="6" t="s">
        <v>86</v>
      </c>
      <c r="H10" s="6" t="s">
        <v>86</v>
      </c>
      <c r="I10" s="6" t="s">
        <v>285</v>
      </c>
    </row>
    <row r="12" customFormat="false" ht="15" hidden="false" customHeight="false" outlineLevel="0" collapsed="false">
      <c r="A12" s="4" t="s">
        <v>286</v>
      </c>
      <c r="F12" s="5" t="n">
        <f aca="false">SUMIFS(F5:F10,G5:G10,"Yes")</f>
        <v>32.60236</v>
      </c>
    </row>
    <row r="13" customFormat="false" ht="15" hidden="false" customHeight="false" outlineLevel="0" collapsed="false">
      <c r="A13" s="4" t="s">
        <v>287</v>
      </c>
      <c r="F13" s="5" t="n">
        <f aca="false">SUMIFS(F5:F10,H5:H10,"Yes")</f>
        <v>208.50736</v>
      </c>
    </row>
    <row r="15" customFormat="false" ht="31.5" hidden="false" customHeight="true" outlineLevel="0" collapsed="false">
      <c r="A15" s="3" t="s">
        <v>264</v>
      </c>
      <c r="B15" s="3"/>
      <c r="C15" s="3"/>
      <c r="D15" s="3" t="s">
        <v>288</v>
      </c>
      <c r="E15" s="3" t="s">
        <v>289</v>
      </c>
      <c r="F15" s="3" t="s">
        <v>290</v>
      </c>
    </row>
    <row r="16" customFormat="false" ht="15" hidden="false" customHeight="false" outlineLevel="0" collapsed="false">
      <c r="A16" s="4" t="s">
        <v>291</v>
      </c>
      <c r="D16" s="20" t="n">
        <f aca="false">Results!B11</f>
        <v>261.5033</v>
      </c>
      <c r="E16" s="17" t="n">
        <f aca="false">D16-F12</f>
        <v>228.90094</v>
      </c>
      <c r="F16" s="21" t="n">
        <f aca="false">IF(D16=0,0,(D16-E16)/D16)</f>
        <v>0.124672843516698</v>
      </c>
    </row>
    <row r="17" customFormat="false" ht="15" hidden="false" customHeight="false" outlineLevel="0" collapsed="false">
      <c r="A17" s="4" t="s">
        <v>292</v>
      </c>
      <c r="D17" s="20" t="n">
        <f aca="false">Results!B12</f>
        <v>346.9538</v>
      </c>
      <c r="E17" s="17" t="n">
        <f aca="false">D17-F13</f>
        <v>138.44644</v>
      </c>
      <c r="F17" s="21" t="n">
        <f aca="false">IF(D17=0,0,(D17-E17)/D17)</f>
        <v>0.600965776999704</v>
      </c>
    </row>
    <row r="20" customFormat="false" ht="31.5" hidden="false" customHeight="true" outlineLevel="0" collapsed="false">
      <c r="A20" s="3" t="s">
        <v>293</v>
      </c>
      <c r="B20" s="3"/>
      <c r="C20" s="3"/>
      <c r="D20" s="3" t="s">
        <v>2</v>
      </c>
    </row>
    <row r="21" customFormat="false" ht="15" hidden="false" customHeight="false" outlineLevel="0" collapsed="false">
      <c r="A21" s="6" t="s">
        <v>294</v>
      </c>
      <c r="D21" s="13" t="n">
        <v>2030</v>
      </c>
    </row>
    <row r="22" customFormat="false" ht="15" hidden="false" customHeight="false" outlineLevel="0" collapsed="false">
      <c r="A22" s="6" t="s">
        <v>295</v>
      </c>
      <c r="D22" s="26" t="n">
        <v>0.3</v>
      </c>
    </row>
    <row r="23" customFormat="false" ht="15" hidden="false" customHeight="false" outlineLevel="0" collapsed="false">
      <c r="A23" s="6" t="s">
        <v>296</v>
      </c>
      <c r="D23" s="17" t="n">
        <f aca="false">Results!B7+Results!B9</f>
        <v>283.937</v>
      </c>
    </row>
    <row r="24" customFormat="false" ht="15" hidden="false" customHeight="false" outlineLevel="0" collapsed="false">
      <c r="A24" s="6" t="s">
        <v>297</v>
      </c>
      <c r="D24" s="17" t="n">
        <f aca="false">D23*(1-D22)</f>
        <v>198.7559</v>
      </c>
    </row>
    <row r="25" customFormat="false" ht="15" hidden="false" customHeight="false" outlineLevel="0" collapsed="false">
      <c r="A25" s="6" t="s">
        <v>298</v>
      </c>
      <c r="D25" s="17" t="n">
        <f aca="false">D23-SUMIFS(F5:F10,B5:B10,1)-F5</f>
        <v>88.033</v>
      </c>
    </row>
    <row r="26" customFormat="false" ht="15" hidden="false" customHeight="false" outlineLevel="0" collapsed="false">
      <c r="A26" s="6" t="s">
        <v>299</v>
      </c>
      <c r="D26" s="21" t="n">
        <f aca="false">IF(D23=0,0,(D23-D25)/D23)</f>
        <v>0.689955870492398</v>
      </c>
    </row>
    <row r="27" customFormat="false" ht="23.85" hidden="false" customHeight="false" outlineLevel="0" collapsed="false">
      <c r="A27" s="6" t="s">
        <v>300</v>
      </c>
      <c r="D27" s="7" t="str">
        <f aca="false">IF(D25&lt;=D24,"Target met on market-based basis","Gap to target")</f>
        <v>Target met on market-based basis</v>
      </c>
    </row>
    <row r="28" customFormat="false" ht="15" hidden="false" customHeight="false" outlineLevel="0" collapsed="false">
      <c r="A28" s="6" t="s">
        <v>301</v>
      </c>
      <c r="D28" s="17" t="n">
        <f aca="false">Results!B7+Results!B8</f>
        <v>198.4865</v>
      </c>
    </row>
    <row r="29" customFormat="false" ht="15" hidden="false" customHeight="false" outlineLevel="0" collapsed="false">
      <c r="A29" s="6" t="s">
        <v>302</v>
      </c>
      <c r="D29" s="17" t="n">
        <f aca="false">D28-SUMIFS(F5:F10,B5:B10,1)</f>
        <v>178.4875</v>
      </c>
    </row>
    <row r="30" customFormat="false" ht="15" hidden="false" customHeight="false" outlineLevel="0" collapsed="false">
      <c r="A30" s="6" t="s">
        <v>303</v>
      </c>
      <c r="D30" s="21" t="n">
        <f aca="false">IF(D28=0,0,(D28-D29)/D28)</f>
        <v>0.100757482246903</v>
      </c>
    </row>
    <row r="32" customFormat="false" ht="15" hidden="false" customHeight="false" outlineLevel="0" collapsed="false">
      <c r="A32" s="9" t="s">
        <v>304</v>
      </c>
    </row>
  </sheetData>
  <dataValidations count="1">
    <dataValidation allowBlank="true" errorStyle="stop" operator="between" showDropDown="false" showErrorMessage="false" showInputMessage="false" sqref="E5:E10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12"/>
    <col collapsed="false" customWidth="true" hidden="false" outlineLevel="0" max="5" min="5" style="0" width="62"/>
  </cols>
  <sheetData>
    <row r="1" customFormat="false" ht="17.35" hidden="false" customHeight="false" outlineLevel="0" collapsed="false">
      <c r="A1" s="1" t="s">
        <v>305</v>
      </c>
    </row>
    <row r="2" customFormat="false" ht="15" hidden="false" customHeight="false" outlineLevel="0" collapsed="false">
      <c r="A2" s="9" t="s">
        <v>306</v>
      </c>
    </row>
    <row r="5" customFormat="false" ht="31.5" hidden="false" customHeight="true" outlineLevel="0" collapsed="false">
      <c r="A5" s="3" t="s">
        <v>307</v>
      </c>
      <c r="B5" s="3" t="s">
        <v>108</v>
      </c>
      <c r="C5" s="3" t="s">
        <v>300</v>
      </c>
      <c r="D5" s="3" t="s">
        <v>188</v>
      </c>
      <c r="E5" s="3" t="s">
        <v>308</v>
      </c>
    </row>
    <row r="6" customFormat="false" ht="15" hidden="false" customHeight="false" outlineLevel="0" collapsed="false">
      <c r="A6" s="14" t="n">
        <v>1</v>
      </c>
      <c r="B6" s="6" t="s">
        <v>309</v>
      </c>
      <c r="C6" s="27" t="n">
        <f aca="false">COUNTIF(Activity_Data!$N$6:$N$45,"NO FACTOR")</f>
        <v>0</v>
      </c>
      <c r="D6" s="7" t="str">
        <f aca="false">IF(ROUND(C6,6)=0,"PASS","CHECK")</f>
        <v>PASS</v>
      </c>
      <c r="E6" s="6" t="s">
        <v>310</v>
      </c>
    </row>
    <row r="7" customFormat="false" ht="15" hidden="false" customHeight="false" outlineLevel="0" collapsed="false">
      <c r="A7" s="14" t="n">
        <v>2</v>
      </c>
      <c r="B7" s="6" t="s">
        <v>311</v>
      </c>
      <c r="C7" s="27" t="n">
        <f aca="false">COUNTIF(Activity_Data!$N$6:$N$45,"BAD FACTOR ID")</f>
        <v>0</v>
      </c>
      <c r="D7" s="7" t="str">
        <f aca="false">IF(ROUND(C7,6)=0,"PASS","CHECK")</f>
        <v>PASS</v>
      </c>
      <c r="E7" s="6" t="s">
        <v>312</v>
      </c>
    </row>
    <row r="8" customFormat="false" ht="15" hidden="false" customHeight="false" outlineLevel="0" collapsed="false">
      <c r="A8" s="14" t="n">
        <v>3</v>
      </c>
      <c r="B8" s="6" t="s">
        <v>313</v>
      </c>
      <c r="C8" s="27" t="n">
        <f aca="false">COUNTIF(Activity_Data!$N$6:$N$45,"UNIT MISMATCH")</f>
        <v>0</v>
      </c>
      <c r="D8" s="7" t="str">
        <f aca="false">IF(ROUND(C8,6)=0,"PASS","CHECK")</f>
        <v>PASS</v>
      </c>
      <c r="E8" s="6" t="s">
        <v>314</v>
      </c>
    </row>
    <row r="9" customFormat="false" ht="15" hidden="false" customHeight="false" outlineLevel="0" collapsed="false">
      <c r="A9" s="14" t="n">
        <v>4</v>
      </c>
      <c r="B9" s="6" t="s">
        <v>315</v>
      </c>
      <c r="C9" s="27" t="n">
        <f aca="false">COUNTIF(Activity_Data!$N$6:$N$45,"MISSING SOURCE/DQ")</f>
        <v>0</v>
      </c>
      <c r="D9" s="7" t="str">
        <f aca="false">IF(ROUND(C9,6)=0,"PASS","CHECK")</f>
        <v>PASS</v>
      </c>
      <c r="E9" s="6" t="s">
        <v>316</v>
      </c>
    </row>
    <row r="10" customFormat="false" ht="15" hidden="false" customHeight="false" outlineLevel="0" collapsed="false">
      <c r="A10" s="14" t="n">
        <v>5</v>
      </c>
      <c r="B10" s="6" t="s">
        <v>317</v>
      </c>
      <c r="C10" s="27" t="n">
        <f aca="false">COUNTIF(Activity_Data!$N$6:$N$45,"MISSING S2 METHOD")</f>
        <v>0</v>
      </c>
      <c r="D10" s="7" t="str">
        <f aca="false">IF(ROUND(C10,6)=0,"PASS","CHECK")</f>
        <v>PASS</v>
      </c>
      <c r="E10" s="6" t="s">
        <v>318</v>
      </c>
    </row>
    <row r="11" customFormat="false" ht="15" hidden="false" customHeight="false" outlineLevel="0" collapsed="false">
      <c r="A11" s="14" t="n">
        <v>6</v>
      </c>
      <c r="B11" s="6" t="s">
        <v>319</v>
      </c>
      <c r="C11" s="27" t="n">
        <f aca="false">SUMPRODUCT((Activity_Data!$H$6:$H$45&lt;&gt;"")*(COUNTIFS(Emission_Factors!$A$6:$A$55,Activity_Data!$H$6:$H$45,Emission_Factors!$G$6:$G$55,"PLACEHOLDER")&gt;0))</f>
        <v>0</v>
      </c>
      <c r="D11" s="7" t="str">
        <f aca="false">IF(ROUND(C11,6)=0,"PASS","CHECK")</f>
        <v>PASS</v>
      </c>
      <c r="E11" s="6" t="s">
        <v>320</v>
      </c>
    </row>
    <row r="12" customFormat="false" ht="23.85" hidden="false" customHeight="false" outlineLevel="0" collapsed="false">
      <c r="A12" s="14" t="n">
        <v>7</v>
      </c>
      <c r="B12" s="6" t="s">
        <v>321</v>
      </c>
      <c r="C12" s="27" t="n">
        <f aca="false">SUMPRODUCT((Activity_Data!$H$6:$H$45&lt;&gt;"")*(COUNTIFS(Emission_Factors!$A$6:$A$55,Activity_Data!$H$6:$H$45,Emission_Factors!$G$6:$G$55,"SECONDARY")&gt;0))</f>
        <v>3</v>
      </c>
      <c r="D12" s="7" t="str">
        <f aca="false">IF(ROUND(C12,6)=0,"PASS","CONFIRM")</f>
        <v>CONFIRM</v>
      </c>
      <c r="E12" s="6" t="s">
        <v>322</v>
      </c>
    </row>
    <row r="13" customFormat="false" ht="15" hidden="false" customHeight="false" outlineLevel="0" collapsed="false">
      <c r="A13" s="14" t="n">
        <v>8</v>
      </c>
      <c r="B13" s="6" t="s">
        <v>323</v>
      </c>
      <c r="C13" s="27" t="n">
        <f aca="false">SUMIFS(Activity_Data!$F$6:$F$45,Activity_Data!$B$6:$B$45,2,Activity_Data!$I$6:$I$45,"Location")-SUMIFS(Activity_Data!$F$6:$F$45,Activity_Data!$B$6:$B$45,2,Activity_Data!$I$6:$I$45,"Market")</f>
        <v>0</v>
      </c>
      <c r="D13" s="7" t="str">
        <f aca="false">IF(ROUND(C13,6)=0,"PASS","CHECK")</f>
        <v>PASS</v>
      </c>
      <c r="E13" s="6" t="s">
        <v>324</v>
      </c>
    </row>
    <row r="14" customFormat="false" ht="15" hidden="false" customHeight="false" outlineLevel="0" collapsed="false">
      <c r="A14" s="14" t="n">
        <v>9</v>
      </c>
      <c r="B14" s="6" t="s">
        <v>325</v>
      </c>
      <c r="C14" s="27" t="n">
        <f aca="false">SUM(Activity_Data!$K$6:$K$45)-(Results!$B$7+Results!$B$8+Results!$B$9+Results!$B$10)</f>
        <v>0</v>
      </c>
      <c r="D14" s="7" t="str">
        <f aca="false">IF(ROUND(C14,6)=0,"PASS","CHECK")</f>
        <v>PASS</v>
      </c>
      <c r="E14" s="6" t="s">
        <v>326</v>
      </c>
    </row>
    <row r="15" customFormat="false" ht="15" hidden="false" customHeight="false" outlineLevel="0" collapsed="false">
      <c r="A15" s="14" t="n">
        <v>10</v>
      </c>
      <c r="B15" s="6" t="s">
        <v>327</v>
      </c>
      <c r="C15" s="27" t="n">
        <f aca="false">SUMPRODUCT((Activity_Data!$F$6:$F$45&lt;&gt;"")*(Activity_Data!$B$6:$B$45=""))</f>
        <v>0</v>
      </c>
      <c r="D15" s="7" t="str">
        <f aca="false">IF(ROUND(C15,6)=0,"PASS","CHECK")</f>
        <v>PASS</v>
      </c>
      <c r="E15" s="6" t="s">
        <v>328</v>
      </c>
    </row>
    <row r="16" customFormat="false" ht="15" hidden="false" customHeight="false" outlineLevel="0" collapsed="false">
      <c r="A16" s="14" t="n">
        <v>11</v>
      </c>
      <c r="B16" s="6" t="s">
        <v>329</v>
      </c>
      <c r="C16" s="27" t="n">
        <f aca="false">Scope3_Screening!$G$21-Results!$B$10</f>
        <v>0</v>
      </c>
      <c r="D16" s="7" t="str">
        <f aca="false">IF(ROUND(C16,6)=0,"PASS","CHECK")</f>
        <v>PASS</v>
      </c>
      <c r="E16" s="6" t="s">
        <v>330</v>
      </c>
    </row>
    <row r="17" customFormat="false" ht="15" hidden="false" customHeight="false" outlineLevel="0" collapsed="false">
      <c r="A17" s="14" t="n">
        <v>12</v>
      </c>
      <c r="B17" s="6" t="s">
        <v>331</v>
      </c>
      <c r="C17" s="27" t="n">
        <f aca="false">Results!$C$42-Results!$B$11</f>
        <v>0</v>
      </c>
      <c r="D17" s="7" t="str">
        <f aca="false">IF(ROUND(C17,6)=0,"PASS","CHECK")</f>
        <v>PASS</v>
      </c>
      <c r="E17" s="6" t="s">
        <v>332</v>
      </c>
    </row>
    <row r="19" customFormat="false" ht="23.85" hidden="false" customHeight="false" outlineLevel="0" collapsed="false">
      <c r="B19" s="4" t="s">
        <v>333</v>
      </c>
      <c r="D19" s="7" t="str">
        <f aca="false">IF(COUNTIF(D6:D17,"CHECK")&gt;0,"REVIEW",IF(COUNTIF(D6:D17,"CONFIRM")&gt;0,"PASS WITH NOTES","ALL PASS"))</f>
        <v>PASS WITH NOTES</v>
      </c>
    </row>
  </sheetData>
  <conditionalFormatting sqref="D6:D19">
    <cfRule type="expression" priority="2" aboveAverage="0" equalAverage="0" bottom="0" percent="0" rank="0" text="" dxfId="0">
      <formula>OR($D6="CHECK",$D6="REVIEW")</formula>
    </cfRule>
    <cfRule type="expression" priority="3" aboveAverage="0" equalAverage="0" bottom="0" percent="0" rank="0" text="" dxfId="2">
      <formula>OR($D6="CONFIRM",$D6="PASS WITH NOTES")</formula>
    </cfRule>
    <cfRule type="expression" priority="4" aboveAverage="0" equalAverage="0" bottom="0" percent="0" rank="0" text="" dxfId="1">
      <formula>OR($D6="PASS",$D6="ALL PASS")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60"/>
  </cols>
  <sheetData>
    <row r="1" customFormat="false" ht="17.35" hidden="false" customHeight="false" outlineLevel="0" collapsed="false">
      <c r="A1" s="1" t="s">
        <v>334</v>
      </c>
    </row>
    <row r="2" customFormat="false" ht="15" hidden="false" customHeight="false" outlineLevel="0" collapsed="false">
      <c r="A2" s="9" t="s">
        <v>335</v>
      </c>
    </row>
    <row r="3" customFormat="false" ht="15" hidden="false" customHeight="false" outlineLevel="0" collapsed="false">
      <c r="A3" s="4" t="s">
        <v>336</v>
      </c>
      <c r="B3" s="13" t="n">
        <v>3</v>
      </c>
    </row>
    <row r="6" customFormat="false" ht="31.5" hidden="false" customHeight="true" outlineLevel="0" collapsed="false">
      <c r="A6" s="3" t="s">
        <v>337</v>
      </c>
      <c r="B6" s="3" t="s">
        <v>338</v>
      </c>
      <c r="C6" s="3" t="s">
        <v>339</v>
      </c>
      <c r="D6" s="3" t="s">
        <v>340</v>
      </c>
      <c r="E6" s="3" t="s">
        <v>341</v>
      </c>
      <c r="F6" s="3" t="s">
        <v>300</v>
      </c>
      <c r="G6" s="3" t="s">
        <v>342</v>
      </c>
    </row>
    <row r="7" customFormat="false" ht="23.85" hidden="false" customHeight="false" outlineLevel="0" collapsed="false">
      <c r="A7" s="6" t="s">
        <v>343</v>
      </c>
      <c r="B7" s="6" t="s">
        <v>344</v>
      </c>
      <c r="C7" s="13" t="n">
        <v>5</v>
      </c>
      <c r="D7" s="13" t="n">
        <v>4</v>
      </c>
      <c r="E7" s="25" t="n">
        <f aca="false">IF(OR(C7="",D7=""),"",MAX(C7,D7))</f>
        <v>5</v>
      </c>
      <c r="F7" s="7" t="str">
        <f aca="false">IF(E7="","",IF(E7&gt;=$B$3,"Material","Not material"))</f>
        <v>Material</v>
      </c>
      <c r="G7" s="11" t="s">
        <v>345</v>
      </c>
    </row>
    <row r="8" customFormat="false" ht="15" hidden="false" customHeight="false" outlineLevel="0" collapsed="false">
      <c r="A8" s="6" t="s">
        <v>346</v>
      </c>
      <c r="B8" s="6" t="s">
        <v>347</v>
      </c>
      <c r="C8" s="13" t="n">
        <v>3</v>
      </c>
      <c r="D8" s="13" t="n">
        <v>2</v>
      </c>
      <c r="E8" s="25" t="n">
        <f aca="false">IF(OR(C8="",D8=""),"",MAX(C8,D8))</f>
        <v>3</v>
      </c>
      <c r="F8" s="7" t="str">
        <f aca="false">IF(E8="","",IF(E8&gt;=$B$3,"Material","Not material"))</f>
        <v>Material</v>
      </c>
      <c r="G8" s="11" t="s">
        <v>348</v>
      </c>
    </row>
    <row r="9" customFormat="false" ht="15" hidden="false" customHeight="false" outlineLevel="0" collapsed="false">
      <c r="A9" s="6" t="s">
        <v>349</v>
      </c>
      <c r="B9" s="6" t="s">
        <v>350</v>
      </c>
      <c r="C9" s="13" t="n">
        <v>2</v>
      </c>
      <c r="D9" s="13" t="n">
        <v>2</v>
      </c>
      <c r="E9" s="25" t="n">
        <f aca="false">IF(OR(C9="",D9=""),"",MAX(C9,D9))</f>
        <v>2</v>
      </c>
      <c r="F9" s="7" t="str">
        <f aca="false">IF(E9="","",IF(E9&gt;=$B$3,"Material","Not material"))</f>
        <v>Not material</v>
      </c>
      <c r="G9" s="11" t="s">
        <v>351</v>
      </c>
    </row>
    <row r="10" customFormat="false" ht="15" hidden="false" customHeight="false" outlineLevel="0" collapsed="false">
      <c r="A10" s="6" t="s">
        <v>352</v>
      </c>
      <c r="B10" s="6" t="s">
        <v>353</v>
      </c>
      <c r="C10" s="13" t="n">
        <v>1</v>
      </c>
      <c r="D10" s="13" t="n">
        <v>1</v>
      </c>
      <c r="E10" s="25" t="n">
        <f aca="false">IF(OR(C10="",D10=""),"",MAX(C10,D10))</f>
        <v>1</v>
      </c>
      <c r="F10" s="7" t="str">
        <f aca="false">IF(E10="","",IF(E10&gt;=$B$3,"Material","Not material"))</f>
        <v>Not material</v>
      </c>
      <c r="G10" s="11" t="s">
        <v>354</v>
      </c>
    </row>
    <row r="11" customFormat="false" ht="15" hidden="false" customHeight="false" outlineLevel="0" collapsed="false">
      <c r="A11" s="6" t="s">
        <v>355</v>
      </c>
      <c r="B11" s="6" t="s">
        <v>356</v>
      </c>
      <c r="C11" s="13" t="n">
        <v>4</v>
      </c>
      <c r="D11" s="13" t="n">
        <v>3</v>
      </c>
      <c r="E11" s="25" t="n">
        <f aca="false">IF(OR(C11="",D11=""),"",MAX(C11,D11))</f>
        <v>4</v>
      </c>
      <c r="F11" s="7" t="str">
        <f aca="false">IF(E11="","",IF(E11&gt;=$B$3,"Material","Not material"))</f>
        <v>Material</v>
      </c>
      <c r="G11" s="11" t="s">
        <v>357</v>
      </c>
    </row>
    <row r="12" customFormat="false" ht="15" hidden="false" customHeight="false" outlineLevel="0" collapsed="false">
      <c r="A12" s="6" t="s">
        <v>358</v>
      </c>
      <c r="B12" s="6" t="s">
        <v>359</v>
      </c>
      <c r="C12" s="13" t="n">
        <v>4</v>
      </c>
      <c r="D12" s="13" t="n">
        <v>3</v>
      </c>
      <c r="E12" s="25" t="n">
        <f aca="false">IF(OR(C12="",D12=""),"",MAX(C12,D12))</f>
        <v>4</v>
      </c>
      <c r="F12" s="7" t="str">
        <f aca="false">IF(E12="","",IF(E12&gt;=$B$3,"Material","Not material"))</f>
        <v>Material</v>
      </c>
      <c r="G12" s="11" t="s">
        <v>360</v>
      </c>
    </row>
    <row r="13" customFormat="false" ht="23.85" hidden="false" customHeight="false" outlineLevel="0" collapsed="false">
      <c r="A13" s="6" t="s">
        <v>361</v>
      </c>
      <c r="B13" s="6" t="s">
        <v>362</v>
      </c>
      <c r="C13" s="13" t="n">
        <v>3</v>
      </c>
      <c r="D13" s="13" t="n">
        <v>3</v>
      </c>
      <c r="E13" s="25" t="n">
        <f aca="false">IF(OR(C13="",D13=""),"",MAX(C13,D13))</f>
        <v>3</v>
      </c>
      <c r="F13" s="7" t="str">
        <f aca="false">IF(E13="","",IF(E13&gt;=$B$3,"Material","Not material"))</f>
        <v>Material</v>
      </c>
      <c r="G13" s="11" t="s">
        <v>363</v>
      </c>
    </row>
    <row r="14" customFormat="false" ht="15" hidden="false" customHeight="false" outlineLevel="0" collapsed="false">
      <c r="A14" s="6" t="s">
        <v>364</v>
      </c>
      <c r="B14" s="6" t="s">
        <v>365</v>
      </c>
      <c r="C14" s="13" t="n">
        <v>2</v>
      </c>
      <c r="D14" s="13" t="n">
        <v>1</v>
      </c>
      <c r="E14" s="25" t="n">
        <f aca="false">IF(OR(C14="",D14=""),"",MAX(C14,D14))</f>
        <v>2</v>
      </c>
      <c r="F14" s="7" t="str">
        <f aca="false">IF(E14="","",IF(E14&gt;=$B$3,"Material","Not material"))</f>
        <v>Not material</v>
      </c>
      <c r="G14" s="11" t="s">
        <v>366</v>
      </c>
    </row>
    <row r="15" customFormat="false" ht="15" hidden="false" customHeight="false" outlineLevel="0" collapsed="false">
      <c r="A15" s="6" t="s">
        <v>367</v>
      </c>
      <c r="B15" s="6" t="s">
        <v>368</v>
      </c>
      <c r="C15" s="13" t="n">
        <v>1</v>
      </c>
      <c r="D15" s="13" t="n">
        <v>1</v>
      </c>
      <c r="E15" s="25" t="n">
        <f aca="false">IF(OR(C15="",D15=""),"",MAX(C15,D15))</f>
        <v>1</v>
      </c>
      <c r="F15" s="7" t="str">
        <f aca="false">IF(E15="","",IF(E15&gt;=$B$3,"Material","Not material"))</f>
        <v>Not material</v>
      </c>
      <c r="G15" s="11" t="s">
        <v>369</v>
      </c>
    </row>
    <row r="16" customFormat="false" ht="23.85" hidden="false" customHeight="false" outlineLevel="0" collapsed="false">
      <c r="A16" s="6" t="s">
        <v>370</v>
      </c>
      <c r="B16" s="6" t="s">
        <v>371</v>
      </c>
      <c r="C16" s="13" t="n">
        <v>3</v>
      </c>
      <c r="D16" s="13" t="n">
        <v>3</v>
      </c>
      <c r="E16" s="25" t="n">
        <f aca="false">IF(OR(C16="",D16=""),"",MAX(C16,D16))</f>
        <v>3</v>
      </c>
      <c r="F16" s="7" t="str">
        <f aca="false">IF(E16="","",IF(E16&gt;=$B$3,"Material","Not material"))</f>
        <v>Material</v>
      </c>
      <c r="G16" s="11" t="s">
        <v>372</v>
      </c>
    </row>
    <row r="18" customFormat="false" ht="15" hidden="false" customHeight="true" outlineLevel="0" collapsed="false">
      <c r="A18" s="28" t="s">
        <v>373</v>
      </c>
      <c r="B18" s="28"/>
      <c r="C18" s="28"/>
      <c r="D18" s="28"/>
      <c r="E18" s="28"/>
      <c r="F18" s="28"/>
      <c r="G18" s="28"/>
    </row>
    <row r="19" customFormat="false" ht="15" hidden="false" customHeight="false" outlineLevel="0" collapsed="false">
      <c r="A19" s="28"/>
      <c r="B19" s="28"/>
      <c r="C19" s="28"/>
      <c r="D19" s="28"/>
      <c r="E19" s="28"/>
      <c r="F19" s="28"/>
      <c r="G19" s="28"/>
    </row>
  </sheetData>
  <mergeCells count="1">
    <mergeCell ref="A18:G19"/>
  </mergeCells>
  <conditionalFormatting sqref="F7:F16">
    <cfRule type="expression" priority="2" aboveAverage="0" equalAverage="0" bottom="0" percent="0" rank="0" text="" dxfId="1">
      <formula>$F7="Material"</formula>
    </cfRule>
  </conditionalFormatting>
  <dataValidations count="1">
    <dataValidation allowBlank="true" errorStyle="stop" operator="between" showDropDown="false" showErrorMessage="false" showInputMessage="false" sqref="C7:D16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2"/>
    <col collapsed="false" customWidth="true" hidden="false" outlineLevel="0" max="3" min="3" style="0" width="5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44"/>
  </cols>
  <sheetData>
    <row r="1" customFormat="false" ht="17.35" hidden="false" customHeight="false" outlineLevel="0" collapsed="false">
      <c r="A1" s="1" t="s">
        <v>374</v>
      </c>
    </row>
    <row r="2" customFormat="false" ht="15" hidden="false" customHeight="false" outlineLevel="0" collapsed="false">
      <c r="A2" s="9" t="s">
        <v>375</v>
      </c>
    </row>
    <row r="5" customFormat="false" ht="31.5" hidden="false" customHeight="true" outlineLevel="0" collapsed="false">
      <c r="A5" s="3" t="s">
        <v>376</v>
      </c>
      <c r="B5" s="3" t="s">
        <v>377</v>
      </c>
      <c r="C5" s="3" t="s">
        <v>378</v>
      </c>
      <c r="D5" s="3" t="s">
        <v>188</v>
      </c>
      <c r="E5" s="3" t="s">
        <v>379</v>
      </c>
      <c r="F5" s="3" t="s">
        <v>109</v>
      </c>
    </row>
    <row r="6" customFormat="false" ht="23.85" hidden="false" customHeight="false" outlineLevel="0" collapsed="false">
      <c r="A6" s="4" t="s">
        <v>380</v>
      </c>
      <c r="B6" s="6" t="s">
        <v>381</v>
      </c>
      <c r="C6" s="6" t="s">
        <v>382</v>
      </c>
      <c r="D6" s="11" t="s">
        <v>383</v>
      </c>
      <c r="E6" s="11"/>
      <c r="F6" s="11" t="s">
        <v>384</v>
      </c>
    </row>
    <row r="7" customFormat="false" ht="15" hidden="false" customHeight="false" outlineLevel="0" collapsed="false">
      <c r="A7" s="4" t="s">
        <v>385</v>
      </c>
      <c r="B7" s="6" t="s">
        <v>386</v>
      </c>
      <c r="C7" s="6" t="s">
        <v>387</v>
      </c>
      <c r="D7" s="11" t="s">
        <v>388</v>
      </c>
      <c r="E7" s="11"/>
      <c r="F7" s="11"/>
    </row>
    <row r="8" customFormat="false" ht="23.85" hidden="false" customHeight="false" outlineLevel="0" collapsed="false">
      <c r="A8" s="4" t="s">
        <v>389</v>
      </c>
      <c r="B8" s="6" t="s">
        <v>390</v>
      </c>
      <c r="C8" s="6" t="s">
        <v>391</v>
      </c>
      <c r="D8" s="11" t="s">
        <v>383</v>
      </c>
      <c r="E8" s="11"/>
      <c r="F8" s="11" t="s">
        <v>392</v>
      </c>
    </row>
    <row r="9" customFormat="false" ht="35.05" hidden="false" customHeight="false" outlineLevel="0" collapsed="false">
      <c r="A9" s="4" t="s">
        <v>393</v>
      </c>
      <c r="B9" s="6" t="s">
        <v>394</v>
      </c>
      <c r="C9" s="6" t="s">
        <v>395</v>
      </c>
      <c r="D9" s="11" t="s">
        <v>396</v>
      </c>
      <c r="E9" s="11"/>
      <c r="F9" s="11" t="s">
        <v>397</v>
      </c>
    </row>
    <row r="10" customFormat="false" ht="23.85" hidden="false" customHeight="false" outlineLevel="0" collapsed="false">
      <c r="A10" s="4" t="s">
        <v>398</v>
      </c>
      <c r="B10" s="6" t="s">
        <v>399</v>
      </c>
      <c r="C10" s="6" t="s">
        <v>400</v>
      </c>
      <c r="D10" s="11" t="s">
        <v>383</v>
      </c>
      <c r="E10" s="11"/>
      <c r="F10" s="11" t="s">
        <v>401</v>
      </c>
    </row>
    <row r="11" customFormat="false" ht="23.85" hidden="false" customHeight="false" outlineLevel="0" collapsed="false">
      <c r="A11" s="4" t="s">
        <v>402</v>
      </c>
      <c r="B11" s="6" t="s">
        <v>403</v>
      </c>
      <c r="C11" s="6" t="s">
        <v>404</v>
      </c>
      <c r="D11" s="11" t="s">
        <v>396</v>
      </c>
      <c r="E11" s="11"/>
      <c r="F11" s="11" t="s">
        <v>405</v>
      </c>
    </row>
    <row r="12" customFormat="false" ht="15" hidden="false" customHeight="false" outlineLevel="0" collapsed="false">
      <c r="A12" s="4" t="s">
        <v>406</v>
      </c>
      <c r="B12" s="6" t="s">
        <v>407</v>
      </c>
      <c r="C12" s="6" t="s">
        <v>387</v>
      </c>
      <c r="D12" s="11" t="s">
        <v>388</v>
      </c>
      <c r="E12" s="11"/>
      <c r="F12" s="11"/>
    </row>
    <row r="13" customFormat="false" ht="15" hidden="false" customHeight="false" outlineLevel="0" collapsed="false">
      <c r="A13" s="4" t="s">
        <v>408</v>
      </c>
      <c r="B13" s="6" t="s">
        <v>409</v>
      </c>
      <c r="C13" s="6" t="s">
        <v>387</v>
      </c>
      <c r="D13" s="11" t="s">
        <v>388</v>
      </c>
      <c r="E13" s="11"/>
      <c r="F13" s="11"/>
    </row>
    <row r="14" customFormat="false" ht="23.85" hidden="false" customHeight="false" outlineLevel="0" collapsed="false">
      <c r="A14" s="4" t="s">
        <v>410</v>
      </c>
      <c r="B14" s="6" t="s">
        <v>411</v>
      </c>
      <c r="C14" s="6" t="s">
        <v>387</v>
      </c>
      <c r="D14" s="11" t="s">
        <v>388</v>
      </c>
      <c r="E14" s="11"/>
      <c r="F14" s="11"/>
    </row>
  </sheetData>
  <dataValidations count="1">
    <dataValidation allowBlank="true" errorStyle="stop" operator="between" showDropDown="false" showErrorMessage="false" showInputMessage="false" sqref="D6:D14" type="list">
      <formula1>"Not started,In progress,Data available,Gap"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32"/>
    <col collapsed="false" customWidth="true" hidden="false" outlineLevel="0" max="5" min="5" style="0" width="14"/>
    <col collapsed="false" customWidth="true" hidden="false" outlineLevel="0" max="6" min="6" style="0" width="52"/>
    <col collapsed="false" customWidth="true" hidden="false" outlineLevel="0" max="7" min="7" style="0" width="30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412</v>
      </c>
    </row>
    <row r="2" customFormat="false" ht="15" hidden="false" customHeight="false" outlineLevel="0" collapsed="false">
      <c r="A2" s="9" t="s">
        <v>413</v>
      </c>
    </row>
    <row r="5" customFormat="false" ht="31.5" hidden="false" customHeight="true" outlineLevel="0" collapsed="false">
      <c r="A5" s="3" t="s">
        <v>414</v>
      </c>
      <c r="B5" s="3" t="s">
        <v>227</v>
      </c>
      <c r="C5" s="3" t="s">
        <v>415</v>
      </c>
      <c r="D5" s="3" t="s">
        <v>416</v>
      </c>
      <c r="E5" s="3" t="s">
        <v>417</v>
      </c>
      <c r="F5" s="3" t="s">
        <v>418</v>
      </c>
      <c r="G5" s="3" t="s">
        <v>419</v>
      </c>
      <c r="H5" s="3" t="s">
        <v>420</v>
      </c>
    </row>
    <row r="6" customFormat="false" ht="15" hidden="false" customHeight="false" outlineLevel="0" collapsed="false">
      <c r="A6" s="11" t="s">
        <v>421</v>
      </c>
      <c r="B6" s="11" t="n">
        <v>1</v>
      </c>
      <c r="C6" s="11" t="s">
        <v>422</v>
      </c>
      <c r="D6" s="11" t="s">
        <v>423</v>
      </c>
      <c r="E6" s="11" t="s">
        <v>424</v>
      </c>
      <c r="F6" s="11" t="s">
        <v>425</v>
      </c>
      <c r="G6" s="11" t="s">
        <v>426</v>
      </c>
      <c r="H6" s="12" t="n">
        <v>46063</v>
      </c>
    </row>
    <row r="7" customFormat="false" ht="23.85" hidden="false" customHeight="false" outlineLevel="0" collapsed="false">
      <c r="A7" s="11" t="s">
        <v>427</v>
      </c>
      <c r="B7" s="11" t="n">
        <v>1</v>
      </c>
      <c r="C7" s="11" t="s">
        <v>428</v>
      </c>
      <c r="D7" s="11" t="s">
        <v>429</v>
      </c>
      <c r="E7" s="11" t="s">
        <v>424</v>
      </c>
      <c r="F7" s="11" t="s">
        <v>430</v>
      </c>
      <c r="G7" s="11" t="s">
        <v>431</v>
      </c>
      <c r="H7" s="12" t="n">
        <v>46063</v>
      </c>
    </row>
    <row r="8" customFormat="false" ht="23.85" hidden="false" customHeight="false" outlineLevel="0" collapsed="false">
      <c r="A8" s="11" t="s">
        <v>432</v>
      </c>
      <c r="B8" s="11" t="n">
        <v>1</v>
      </c>
      <c r="C8" s="11" t="s">
        <v>433</v>
      </c>
      <c r="D8" s="11" t="s">
        <v>434</v>
      </c>
      <c r="E8" s="11" t="s">
        <v>435</v>
      </c>
      <c r="F8" s="11" t="s">
        <v>436</v>
      </c>
      <c r="G8" s="11" t="s">
        <v>437</v>
      </c>
      <c r="H8" s="12" t="n">
        <v>46063</v>
      </c>
    </row>
    <row r="9" customFormat="false" ht="15" hidden="false" customHeight="false" outlineLevel="0" collapsed="false">
      <c r="A9" s="11" t="s">
        <v>438</v>
      </c>
      <c r="B9" s="11" t="n">
        <v>2</v>
      </c>
      <c r="C9" s="11" t="s">
        <v>428</v>
      </c>
      <c r="D9" s="11" t="s">
        <v>429</v>
      </c>
      <c r="E9" s="11" t="s">
        <v>424</v>
      </c>
      <c r="F9" s="11" t="s">
        <v>439</v>
      </c>
      <c r="G9" s="11" t="s">
        <v>440</v>
      </c>
      <c r="H9" s="12" t="n">
        <v>46063</v>
      </c>
    </row>
    <row r="10" customFormat="false" ht="15" hidden="false" customHeight="false" outlineLevel="0" collapsed="false">
      <c r="A10" s="11" t="s">
        <v>441</v>
      </c>
      <c r="B10" s="11" t="n">
        <v>3</v>
      </c>
      <c r="C10" s="11" t="s">
        <v>442</v>
      </c>
      <c r="D10" s="11" t="s">
        <v>443</v>
      </c>
      <c r="E10" s="11" t="s">
        <v>444</v>
      </c>
      <c r="F10" s="11" t="s">
        <v>445</v>
      </c>
      <c r="G10" s="11" t="s">
        <v>446</v>
      </c>
      <c r="H10" s="12" t="n">
        <v>46063</v>
      </c>
    </row>
    <row r="11" customFormat="false" ht="23.85" hidden="false" customHeight="false" outlineLevel="0" collapsed="false">
      <c r="A11" s="11" t="s">
        <v>447</v>
      </c>
      <c r="B11" s="11" t="n">
        <v>3</v>
      </c>
      <c r="C11" s="11" t="s">
        <v>448</v>
      </c>
      <c r="D11" s="11" t="s">
        <v>449</v>
      </c>
      <c r="E11" s="11" t="s">
        <v>444</v>
      </c>
      <c r="F11" s="11" t="s">
        <v>450</v>
      </c>
      <c r="G11" s="11" t="s">
        <v>451</v>
      </c>
      <c r="H11" s="12" t="n">
        <v>46063</v>
      </c>
    </row>
    <row r="12" customFormat="false" ht="23.85" hidden="false" customHeight="false" outlineLevel="0" collapsed="false">
      <c r="A12" s="11" t="s">
        <v>184</v>
      </c>
      <c r="B12" s="11" t="s">
        <v>452</v>
      </c>
      <c r="C12" s="11" t="s">
        <v>453</v>
      </c>
      <c r="D12" s="11" t="s">
        <v>454</v>
      </c>
      <c r="E12" s="11" t="s">
        <v>444</v>
      </c>
      <c r="F12" s="11" t="s">
        <v>455</v>
      </c>
      <c r="G12" s="11" t="s">
        <v>456</v>
      </c>
      <c r="H12" s="12" t="n">
        <v>46063</v>
      </c>
    </row>
    <row r="13" customFormat="false" ht="23.85" hidden="false" customHeight="false" outlineLevel="0" collapsed="false">
      <c r="A13" s="11" t="s">
        <v>457</v>
      </c>
      <c r="B13" s="11" t="s">
        <v>452</v>
      </c>
      <c r="C13" s="11" t="s">
        <v>453</v>
      </c>
      <c r="D13" s="11" t="s">
        <v>458</v>
      </c>
      <c r="E13" s="11" t="s">
        <v>444</v>
      </c>
      <c r="F13" s="11" t="s">
        <v>459</v>
      </c>
      <c r="G13" s="11" t="s">
        <v>460</v>
      </c>
      <c r="H13" s="12" t="n">
        <v>46063</v>
      </c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11"/>
      <c r="H14" s="12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11"/>
      <c r="H15" s="12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11"/>
      <c r="H16" s="12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1"/>
      <c r="H17" s="12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1"/>
      <c r="H18" s="12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11"/>
      <c r="H19" s="12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1"/>
      <c r="H20" s="12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11"/>
      <c r="H21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60"/>
    <col collapsed="false" customWidth="true" hidden="false" outlineLevel="0" max="4" min="4" style="0" width="38"/>
    <col collapsed="false" customWidth="true" hidden="false" outlineLevel="0" max="6" min="5" style="0" width="14"/>
    <col collapsed="false" customWidth="true" hidden="false" outlineLevel="0" max="7" min="7" style="0" width="10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461</v>
      </c>
    </row>
    <row r="2" customFormat="false" ht="15" hidden="false" customHeight="false" outlineLevel="0" collapsed="false">
      <c r="A2" s="9" t="s">
        <v>462</v>
      </c>
    </row>
    <row r="5" customFormat="false" ht="31.5" hidden="false" customHeight="true" outlineLevel="0" collapsed="false">
      <c r="A5" s="3" t="s">
        <v>463</v>
      </c>
      <c r="B5" s="3" t="s">
        <v>464</v>
      </c>
      <c r="C5" s="3" t="s">
        <v>465</v>
      </c>
      <c r="D5" s="3" t="s">
        <v>466</v>
      </c>
      <c r="E5" s="3" t="s">
        <v>467</v>
      </c>
      <c r="F5" s="3" t="s">
        <v>379</v>
      </c>
      <c r="G5" s="3" t="s">
        <v>188</v>
      </c>
      <c r="H5" s="3" t="s">
        <v>468</v>
      </c>
    </row>
    <row r="6" customFormat="false" ht="23.85" hidden="false" customHeight="false" outlineLevel="0" collapsed="false">
      <c r="A6" s="11" t="s">
        <v>469</v>
      </c>
      <c r="B6" s="12" t="n">
        <v>46063</v>
      </c>
      <c r="C6" s="11" t="s">
        <v>470</v>
      </c>
      <c r="D6" s="11" t="s">
        <v>471</v>
      </c>
      <c r="E6" s="11" t="s">
        <v>242</v>
      </c>
      <c r="F6" s="11" t="s">
        <v>448</v>
      </c>
      <c r="G6" s="11" t="s">
        <v>472</v>
      </c>
      <c r="H6" s="11" t="s">
        <v>145</v>
      </c>
    </row>
    <row r="7" customFormat="false" ht="23.85" hidden="false" customHeight="false" outlineLevel="0" collapsed="false">
      <c r="A7" s="11" t="s">
        <v>473</v>
      </c>
      <c r="B7" s="12" t="n">
        <v>46063</v>
      </c>
      <c r="C7" s="11" t="s">
        <v>474</v>
      </c>
      <c r="D7" s="11" t="s">
        <v>475</v>
      </c>
      <c r="E7" s="11" t="s">
        <v>246</v>
      </c>
      <c r="F7" s="11" t="s">
        <v>422</v>
      </c>
      <c r="G7" s="11" t="s">
        <v>472</v>
      </c>
      <c r="H7" s="11" t="s">
        <v>110</v>
      </c>
    </row>
    <row r="8" customFormat="false" ht="23.85" hidden="false" customHeight="false" outlineLevel="0" collapsed="false">
      <c r="A8" s="11" t="s">
        <v>476</v>
      </c>
      <c r="B8" s="12" t="n">
        <v>46063</v>
      </c>
      <c r="C8" s="11" t="s">
        <v>477</v>
      </c>
      <c r="D8" s="11" t="s">
        <v>478</v>
      </c>
      <c r="E8" s="11" t="s">
        <v>242</v>
      </c>
      <c r="F8" s="11" t="s">
        <v>453</v>
      </c>
      <c r="G8" s="11" t="s">
        <v>472</v>
      </c>
      <c r="H8" s="11" t="s">
        <v>135</v>
      </c>
    </row>
    <row r="9" customFormat="false" ht="15" hidden="false" customHeight="false" outlineLevel="0" collapsed="false">
      <c r="A9" s="11" t="s">
        <v>479</v>
      </c>
      <c r="B9" s="12" t="n">
        <v>46063</v>
      </c>
      <c r="C9" s="11" t="s">
        <v>480</v>
      </c>
      <c r="D9" s="11" t="s">
        <v>481</v>
      </c>
      <c r="E9" s="11" t="s">
        <v>246</v>
      </c>
      <c r="F9" s="11" t="s">
        <v>453</v>
      </c>
      <c r="G9" s="11" t="s">
        <v>472</v>
      </c>
      <c r="H9" s="11" t="s">
        <v>482</v>
      </c>
    </row>
    <row r="10" customFormat="false" ht="23.85" hidden="false" customHeight="false" outlineLevel="0" collapsed="false">
      <c r="A10" s="11" t="s">
        <v>483</v>
      </c>
      <c r="B10" s="12" t="n">
        <v>46063</v>
      </c>
      <c r="C10" s="11" t="s">
        <v>484</v>
      </c>
      <c r="D10" s="11" t="s">
        <v>485</v>
      </c>
      <c r="E10" s="11" t="s">
        <v>242</v>
      </c>
      <c r="F10" s="11" t="s">
        <v>453</v>
      </c>
      <c r="G10" s="11" t="s">
        <v>472</v>
      </c>
      <c r="H10" s="11" t="s">
        <v>486</v>
      </c>
    </row>
    <row r="11" customFormat="false" ht="23.85" hidden="false" customHeight="false" outlineLevel="0" collapsed="false">
      <c r="A11" s="11" t="s">
        <v>487</v>
      </c>
      <c r="B11" s="12" t="n">
        <v>46063</v>
      </c>
      <c r="C11" s="11" t="s">
        <v>488</v>
      </c>
      <c r="D11" s="11" t="s">
        <v>489</v>
      </c>
      <c r="E11" s="11" t="s">
        <v>238</v>
      </c>
      <c r="F11" s="11" t="s">
        <v>453</v>
      </c>
      <c r="G11" s="11" t="s">
        <v>472</v>
      </c>
      <c r="H11" s="11" t="s">
        <v>490</v>
      </c>
    </row>
    <row r="12" customFormat="false" ht="23.85" hidden="false" customHeight="false" outlineLevel="0" collapsed="false">
      <c r="A12" s="11" t="s">
        <v>491</v>
      </c>
      <c r="B12" s="12" t="n">
        <v>46063</v>
      </c>
      <c r="C12" s="11" t="s">
        <v>492</v>
      </c>
      <c r="D12" s="11" t="s">
        <v>493</v>
      </c>
      <c r="E12" s="11" t="s">
        <v>242</v>
      </c>
      <c r="F12" s="11" t="s">
        <v>453</v>
      </c>
      <c r="G12" s="11" t="s">
        <v>472</v>
      </c>
      <c r="H12" s="11" t="s">
        <v>494</v>
      </c>
    </row>
    <row r="13" customFormat="false" ht="15" hidden="false" customHeight="false" outlineLevel="0" collapsed="false">
      <c r="A13" s="11"/>
      <c r="B13" s="12"/>
      <c r="C13" s="11"/>
      <c r="D13" s="11"/>
      <c r="E13" s="11"/>
      <c r="F13" s="11"/>
      <c r="G13" s="11"/>
      <c r="H13" s="11"/>
    </row>
    <row r="14" customFormat="false" ht="15" hidden="false" customHeight="false" outlineLevel="0" collapsed="false">
      <c r="A14" s="11"/>
      <c r="B14" s="12"/>
      <c r="C14" s="11"/>
      <c r="D14" s="11"/>
      <c r="E14" s="11"/>
      <c r="F14" s="11"/>
      <c r="G14" s="11"/>
      <c r="H14" s="11"/>
    </row>
    <row r="15" customFormat="false" ht="15" hidden="false" customHeight="false" outlineLevel="0" collapsed="false">
      <c r="A15" s="11"/>
      <c r="B15" s="12"/>
      <c r="C15" s="11"/>
      <c r="D15" s="11"/>
      <c r="E15" s="11"/>
      <c r="F15" s="11"/>
      <c r="G15" s="11"/>
      <c r="H15" s="11"/>
    </row>
    <row r="16" customFormat="false" ht="15" hidden="false" customHeight="false" outlineLevel="0" collapsed="false">
      <c r="A16" s="11"/>
      <c r="B16" s="12"/>
      <c r="C16" s="11"/>
      <c r="D16" s="11"/>
      <c r="E16" s="11"/>
      <c r="F16" s="11"/>
      <c r="G16" s="11"/>
      <c r="H16" s="11"/>
    </row>
    <row r="17" customFormat="false" ht="15" hidden="false" customHeight="false" outlineLevel="0" collapsed="false">
      <c r="A17" s="11"/>
      <c r="B17" s="12"/>
      <c r="C17" s="11"/>
      <c r="D17" s="11"/>
      <c r="E17" s="11"/>
      <c r="F17" s="11"/>
      <c r="G17" s="11"/>
      <c r="H17" s="11"/>
    </row>
    <row r="18" customFormat="false" ht="15" hidden="false" customHeight="false" outlineLevel="0" collapsed="false">
      <c r="A18" s="11"/>
      <c r="B18" s="12"/>
      <c r="C18" s="11"/>
      <c r="D18" s="11"/>
      <c r="E18" s="11"/>
      <c r="F18" s="11"/>
      <c r="G18" s="11"/>
      <c r="H18" s="11"/>
    </row>
    <row r="19" customFormat="false" ht="15" hidden="false" customHeight="false" outlineLevel="0" collapsed="false">
      <c r="A19" s="11"/>
      <c r="B19" s="12"/>
      <c r="C19" s="11"/>
      <c r="D19" s="11"/>
      <c r="E19" s="11"/>
      <c r="F19" s="11"/>
      <c r="G19" s="11"/>
      <c r="H19" s="11"/>
    </row>
    <row r="20" customFormat="false" ht="15" hidden="false" customHeight="false" outlineLevel="0" collapsed="false">
      <c r="A20" s="11"/>
      <c r="B20" s="12"/>
      <c r="C20" s="11"/>
      <c r="D20" s="11"/>
      <c r="E20" s="11"/>
      <c r="F20" s="11"/>
      <c r="G20" s="11"/>
      <c r="H20" s="11"/>
    </row>
    <row r="21" customFormat="false" ht="15" hidden="false" customHeight="false" outlineLevel="0" collapsed="false">
      <c r="A21" s="11"/>
      <c r="B21" s="12"/>
      <c r="C21" s="11"/>
      <c r="D21" s="11"/>
      <c r="E21" s="11"/>
      <c r="F21" s="11"/>
      <c r="G21" s="11"/>
      <c r="H21" s="11"/>
    </row>
    <row r="22" customFormat="false" ht="15" hidden="false" customHeight="false" outlineLevel="0" collapsed="false">
      <c r="A22" s="11"/>
      <c r="B22" s="12"/>
      <c r="C22" s="11"/>
      <c r="D22" s="11"/>
      <c r="E22" s="11"/>
      <c r="F22" s="11"/>
      <c r="G22" s="11"/>
      <c r="H22" s="11"/>
    </row>
    <row r="23" customFormat="false" ht="15" hidden="false" customHeight="false" outlineLevel="0" collapsed="false">
      <c r="A23" s="11"/>
      <c r="B23" s="12"/>
      <c r="C23" s="11"/>
      <c r="D23" s="11"/>
      <c r="E23" s="11"/>
      <c r="F23" s="11"/>
      <c r="G23" s="11"/>
      <c r="H23" s="11"/>
    </row>
    <row r="24" customFormat="false" ht="15" hidden="false" customHeight="false" outlineLevel="0" collapsed="false">
      <c r="A24" s="11"/>
      <c r="B24" s="12"/>
      <c r="C24" s="11"/>
      <c r="D24" s="11"/>
      <c r="E24" s="11"/>
      <c r="F24" s="11"/>
      <c r="G24" s="11"/>
      <c r="H24" s="11"/>
    </row>
    <row r="25" customFormat="false" ht="15" hidden="false" customHeight="false" outlineLevel="0" collapsed="false">
      <c r="A25" s="11"/>
      <c r="B25" s="12"/>
      <c r="C25" s="11"/>
      <c r="D25" s="11"/>
      <c r="E25" s="11"/>
      <c r="F25" s="11"/>
      <c r="G25" s="11"/>
      <c r="H25" s="11"/>
    </row>
  </sheetData>
  <dataValidations count="2">
    <dataValidation allowBlank="true" errorStyle="stop" operator="between" showDropDown="false" showErrorMessage="false" showInputMessage="false" sqref="E6:E25" type="list">
      <formula1>"High,Medium,Low"</formula1>
      <formula2>0</formula2>
    </dataValidation>
    <dataValidation allowBlank="true" errorStyle="stop" operator="between" showDropDown="false" showErrorMessage="false" showInputMessage="false" sqref="G6:G25" type="list">
      <formula1>"Open,Closed"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29" t="s">
        <v>118</v>
      </c>
      <c r="C1" s="29" t="s">
        <v>495</v>
      </c>
      <c r="E1" s="9" t="s">
        <v>496</v>
      </c>
    </row>
    <row r="2" customFormat="false" ht="15" hidden="false" customHeight="false" outlineLevel="0" collapsed="false">
      <c r="A2" s="29" t="s">
        <v>111</v>
      </c>
      <c r="C2" s="29" t="s">
        <v>120</v>
      </c>
    </row>
    <row r="3" customFormat="false" ht="15" hidden="false" customHeight="false" outlineLevel="0" collapsed="false">
      <c r="A3" s="29" t="s">
        <v>124</v>
      </c>
      <c r="C3" s="29" t="s">
        <v>126</v>
      </c>
    </row>
    <row r="4" customFormat="false" ht="15" hidden="false" customHeight="false" outlineLevel="0" collapsed="false">
      <c r="A4" s="29" t="s">
        <v>497</v>
      </c>
      <c r="C4" s="29" t="s">
        <v>132</v>
      </c>
    </row>
    <row r="5" customFormat="false" ht="15" hidden="false" customHeight="false" outlineLevel="0" collapsed="false">
      <c r="A5" s="29" t="s">
        <v>130</v>
      </c>
      <c r="C5" s="29" t="s">
        <v>142</v>
      </c>
    </row>
    <row r="6" customFormat="false" ht="15" hidden="false" customHeight="false" outlineLevel="0" collapsed="false">
      <c r="A6" s="29" t="s">
        <v>498</v>
      </c>
      <c r="C6" s="29" t="s">
        <v>499</v>
      </c>
    </row>
    <row r="7" customFormat="false" ht="15" hidden="false" customHeight="false" outlineLevel="0" collapsed="false">
      <c r="A7" s="29" t="s">
        <v>500</v>
      </c>
      <c r="C7" s="29" t="s">
        <v>113</v>
      </c>
    </row>
    <row r="8" customFormat="false" ht="15" hidden="false" customHeight="false" outlineLevel="0" collapsed="false">
      <c r="A8" s="29" t="s">
        <v>501</v>
      </c>
      <c r="C8" s="29" t="s">
        <v>148</v>
      </c>
    </row>
    <row r="9" customFormat="false" ht="15" hidden="false" customHeight="false" outlineLevel="0" collapsed="false">
      <c r="A9" s="29" t="s">
        <v>502</v>
      </c>
      <c r="C9" s="29" t="s">
        <v>503</v>
      </c>
    </row>
    <row r="10" customFormat="false" ht="15" hidden="false" customHeight="false" outlineLevel="0" collapsed="false">
      <c r="A10" s="29" t="s">
        <v>504</v>
      </c>
    </row>
    <row r="11" customFormat="false" ht="15" hidden="false" customHeight="false" outlineLevel="0" collapsed="false">
      <c r="A11" s="29" t="s">
        <v>505</v>
      </c>
    </row>
    <row r="12" customFormat="false" ht="15" hidden="false" customHeight="false" outlineLevel="0" collapsed="false">
      <c r="A12" s="29" t="s">
        <v>139</v>
      </c>
    </row>
    <row r="13" customFormat="false" ht="15" hidden="false" customHeight="false" outlineLevel="0" collapsed="false">
      <c r="A13" s="29" t="s">
        <v>146</v>
      </c>
    </row>
    <row r="14" customFormat="false" ht="15" hidden="false" customHeight="false" outlineLevel="0" collapsed="false">
      <c r="A14" s="29" t="s">
        <v>506</v>
      </c>
    </row>
    <row r="15" customFormat="false" ht="15" hidden="false" customHeight="false" outlineLevel="0" collapsed="false">
      <c r="A15" s="29" t="s">
        <v>507</v>
      </c>
    </row>
    <row r="16" customFormat="false" ht="15" hidden="false" customHeight="false" outlineLevel="0" collapsed="false">
      <c r="A16" s="29" t="s">
        <v>508</v>
      </c>
    </row>
    <row r="17" customFormat="false" ht="15" hidden="false" customHeight="false" outlineLevel="0" collapsed="false">
      <c r="A17" s="29" t="s">
        <v>509</v>
      </c>
    </row>
    <row r="18" customFormat="false" ht="15" hidden="false" customHeight="false" outlineLevel="0" collapsed="false">
      <c r="A18" s="29" t="s">
        <v>510</v>
      </c>
    </row>
    <row r="19" customFormat="false" ht="15" hidden="false" customHeight="false" outlineLevel="0" collapsed="false">
      <c r="A19" s="29" t="s">
        <v>511</v>
      </c>
    </row>
    <row r="20" customFormat="false" ht="15" hidden="false" customHeight="false" outlineLevel="0" collapsed="false">
      <c r="A20" s="29" t="s">
        <v>512</v>
      </c>
    </row>
    <row r="21" customFormat="false" ht="15" hidden="false" customHeight="false" outlineLevel="0" collapsed="false">
      <c r="A21" s="29" t="s">
        <v>513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2026-10-19T17:52:24Z</dcterms:created>
  <dc:creator>openpyxl</dc:creator>
  <dc:description/>
  <dc:language>en-US</dc:language>
  <cp:lastModifiedBy/>
  <dcterms:modified xsi:type="dcterms:W3CDTF">2026-10-19T17:52:27Z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